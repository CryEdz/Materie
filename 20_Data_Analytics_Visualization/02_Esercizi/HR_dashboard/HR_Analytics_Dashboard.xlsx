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i_Grezzi" sheetId="1" state="visible" r:id="rId3"/>
    <sheet name="KPI_Summary" sheetId="2" state="visible" r:id="rId4"/>
    <sheet name="Top_JobRole" sheetId="3" state="visible" r:id="rId5"/>
    <sheet name="Istruzioni_Esercizi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<sst xmlns="http://schemas.openxmlformats.org/spreadsheetml/2006/main" count="443" uniqueCount="87">
  <si>
    <t xml:space="preserve">EmployeeID</t>
  </si>
  <si>
    <t xml:space="preserve">Age</t>
  </si>
  <si>
    <t xml:space="preserve">Gender</t>
  </si>
  <si>
    <t xml:space="preserve">Department</t>
  </si>
  <si>
    <t xml:space="preserve">JobRole</t>
  </si>
  <si>
    <t xml:space="preserve">MonthlyIncome</t>
  </si>
  <si>
    <t xml:space="preserve">OverTime</t>
  </si>
  <si>
    <t xml:space="preserve">YearsAtCompany</t>
  </si>
  <si>
    <t xml:space="preserve">YearsWithCurrManager</t>
  </si>
  <si>
    <t xml:space="preserve">JobSatisfaction</t>
  </si>
  <si>
    <t xml:space="preserve">EnvironmentSatisfaction</t>
  </si>
  <si>
    <t xml:space="preserve">WorkLifeBalance</t>
  </si>
  <si>
    <t xml:space="preserve">Attrition</t>
  </si>
  <si>
    <t xml:space="preserve">AttritionNum</t>
  </si>
  <si>
    <t xml:space="preserve">Female</t>
  </si>
  <si>
    <t xml:space="preserve">Human Resources</t>
  </si>
  <si>
    <t xml:space="preserve">Yes</t>
  </si>
  <si>
    <t xml:space="preserve">Male</t>
  </si>
  <si>
    <t xml:space="preserve">Sales</t>
  </si>
  <si>
    <t xml:space="preserve">Manager</t>
  </si>
  <si>
    <t xml:space="preserve">No</t>
  </si>
  <si>
    <t xml:space="preserve">Sales Executive</t>
  </si>
  <si>
    <t xml:space="preserve">Research &amp; Development</t>
  </si>
  <si>
    <t xml:space="preserve">Manufacturing Director</t>
  </si>
  <si>
    <t xml:space="preserve">Healthcare Representative</t>
  </si>
  <si>
    <t xml:space="preserve">Sales Representative</t>
  </si>
  <si>
    <t xml:space="preserve">Laboratory Technician</t>
  </si>
  <si>
    <t xml:space="preserve">Research Scientist</t>
  </si>
  <si>
    <t xml:space="preserve">METRICHE GLOBALI</t>
  </si>
  <si>
    <t xml:space="preserve">Totale dipendenti</t>
  </si>
  <si>
    <t xml:space="preserve">Di cui con Attrition=Yes</t>
  </si>
  <si>
    <t xml:space="preserve">Attrition Rate</t>
  </si>
  <si>
    <t xml:space="preserve">Età media</t>
  </si>
  <si>
    <t xml:space="preserve">Stipendio mensile medio</t>
  </si>
  <si>
    <t xml:space="preserve">% dipendenti con Overtime</t>
  </si>
  <si>
    <t xml:space="preserve">Anni medi in azienda</t>
  </si>
  <si>
    <t xml:space="preserve">Job Satisfaction media</t>
  </si>
  <si>
    <t xml:space="preserve">ATTRITION PER DIPARTIMENTO</t>
  </si>
  <si>
    <t xml:space="preserve">Dipartimento</t>
  </si>
  <si>
    <t xml:space="preserve">Totale</t>
  </si>
  <si>
    <t xml:space="preserve">Attriti</t>
  </si>
  <si>
    <t xml:space="preserve">Attrition %</t>
  </si>
  <si>
    <t xml:space="preserve">ATTRITION PER GENERE</t>
  </si>
  <si>
    <t xml:space="preserve">Genere</t>
  </si>
  <si>
    <t xml:space="preserve">TREND ATTRITION MENSILE (dati simulati)</t>
  </si>
  <si>
    <t xml:space="preserve">Mese</t>
  </si>
  <si>
    <t xml:space="preserve">Gen</t>
  </si>
  <si>
    <t xml:space="preserve">Feb</t>
  </si>
  <si>
    <t xml:space="preserve">Mar</t>
  </si>
  <si>
    <t xml:space="preserve">Apr</t>
  </si>
  <si>
    <t xml:space="preserve">Mag</t>
  </si>
  <si>
    <t xml:space="preserve">Giu</t>
  </si>
  <si>
    <t xml:space="preserve">Lug</t>
  </si>
  <si>
    <t xml:space="preserve">Ago</t>
  </si>
  <si>
    <t xml:space="preserve">Set</t>
  </si>
  <si>
    <t xml:space="preserve">Ott</t>
  </si>
  <si>
    <t xml:space="preserve">Nov</t>
  </si>
  <si>
    <t xml:space="preserve">Dic</t>
  </si>
  <si>
    <t xml:space="preserve">ATTRITION PER JOB ROLE</t>
  </si>
  <si>
    <t xml:space="preserve">Job Role</t>
  </si>
  <si>
    <t xml:space="preserve">ESERCIZIO — Executive HR Dashboard</t>
  </si>
  <si>
    <t xml:space="preserve">Dataset: IBM HR Analytics  |  Tempo: 45 minuti</t>
  </si>
  <si>
    <t xml:space="preserve">1</t>
  </si>
  <si>
    <t xml:space="preserve">Esplora i Dati Grezzi (foglio Dati_Grezzi)</t>
  </si>
  <si>
    <t xml:space="preserve">  •  Quanti dipendenti totali? Quanti con Attrition=Yes?</t>
  </si>
  <si>
    <t xml:space="preserve">  •  Nota le colonne disponibili: età, stipendio, dipartimento, soddisfazione</t>
  </si>
  <si>
    <t xml:space="preserve">  •  Osserva il conditional formatting già applicato su AttritionNum</t>
  </si>
  <si>
    <t xml:space="preserve">2</t>
  </si>
  <si>
    <t xml:space="preserve">Analizza i KPI (foglio KPI_Summary)</t>
  </si>
  <si>
    <t xml:space="preserve">  •  Esamina le formule nelle celle colorate: COUNTIF, COUNTIFS, AVERAGEIF</t>
  </si>
  <si>
    <t xml:space="preserve">  •  Osserva il conditional formatting RAG sull'Attrition % per dipartimento</t>
  </si>
  <si>
    <t xml:space="preserve">  •  Identifica il dipartimento con attrition più alta e più bassa</t>
  </si>
  <si>
    <t xml:space="preserve">  •  Guarda il trend mensile: c'è un pattern stagionale?</t>
  </si>
  <si>
    <t xml:space="preserve">3</t>
  </si>
  <si>
    <t xml:space="preserve">Costruisci la Dashboard (nuovo foglio)</t>
  </si>
  <si>
    <t xml:space="preserve">  •  Crea un nuovo foglio chiamato 'Dashboard'</t>
  </si>
  <si>
    <t xml:space="preserve">  •  Aggiungi almeno 3 KPI card: Attrition Rate totale, Stipendio medio, % Overtime</t>
  </si>
  <si>
    <t xml:space="preserve">  •  Inserisci un grafico a barre: Attrition % per Department</t>
  </si>
  <si>
    <t xml:space="preserve">  •  Inserisci la tabella Top JobRole con conditional formatting RAG</t>
  </si>
  <si>
    <t xml:space="preserve">  •  Disponi seguendo lo Z-pattern: KPI in alto, grafici al centro</t>
  </si>
  <si>
    <t xml:space="preserve">  •  Aggiungi titolo, data di aggiornamento (usa =OGGI()), fonte dati</t>
  </si>
  <si>
    <t xml:space="preserve">4</t>
  </si>
  <si>
    <t xml:space="preserve">Test finale (5 min)</t>
  </si>
  <si>
    <t xml:space="preserve">  •  Mostra la dashboard a un collega — trova l'attrition totale in &lt; 5 sec?</t>
  </si>
  <si>
    <t xml:space="preserve">  •  Qual è il dipartimento più critico? Si vede immediatamente?</t>
  </si>
  <si>
    <t xml:space="preserve">  •  Il titolo dice a chi è destinata e quando è aggiornata?</t>
  </si>
  <si>
    <t xml:space="preserve">💡 SUGGERIMENTO: usa i fogli KPI_Summary e Top_JobRole come sorgenti dati per i grafici della dashboard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</si>
</sst>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"/>
    <numFmt numFmtId="166" formatCode="0.0%"/>
    <numFmt numFmtId="167" formatCode="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C0392B"/>
      <name val="Calibri"/>
      <family val="0"/>
      <charset val="1"/>
    </font>
    <font>
      <b val="true"/>
      <sz val="10"/>
      <color rgb="FF1E8449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color rgb="FF1B5F8C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2"/>
      <color rgb="FF1B5F8C"/>
      <name val="Calibri"/>
      <family val="0"/>
      <charset val="1"/>
    </font>
    <font>
      <sz val="11"/>
      <color rgb="FF1A1A2E"/>
      <name val="Calibri"/>
      <family val="0"/>
      <charset val="1"/>
    </font>
    <font>
      <b val="true"/>
      <sz val="11"/>
      <color rgb="FF5A401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5F8C"/>
        <bgColor rgb="FF2E75B6"/>
      </patternFill>
    </fill>
    <fill>
      <patternFill patternType="solid">
        <fgColor rgb="FFE8F4FB"/>
        <bgColor rgb="FFD5F5E3"/>
      </patternFill>
    </fill>
    <fill>
      <patternFill patternType="solid">
        <fgColor rgb="FFFFFFFF"/>
        <bgColor rgb="FFFEF9E7"/>
      </patternFill>
    </fill>
    <fill>
      <patternFill patternType="solid">
        <fgColor rgb="FF2E75B6"/>
        <bgColor rgb="FF1B5F8C"/>
      </patternFill>
    </fill>
    <fill>
      <patternFill patternType="solid">
        <fgColor rgb="FFFEF9E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Calibri"/>
        <charset val="1"/>
        <family val="0"/>
        <b val="1"/>
        <color rgb="FFC0392B"/>
      </font>
      <fill>
        <patternFill>
          <bgColor rgb="FFFADBD8"/>
        </patternFill>
      </fill>
    </dxf>
    <dxf>
      <font>
        <name val="Calibri"/>
        <charset val="1"/>
        <family val="0"/>
        <b val="1"/>
        <color rgb="FFE67E22"/>
      </font>
      <fill>
        <patternFill>
          <bgColor rgb="FFFEF9E7"/>
        </patternFill>
      </fill>
    </dxf>
    <dxf>
      <font>
        <name val="Calibri"/>
        <charset val="1"/>
        <family val="0"/>
        <b val="1"/>
        <color rgb="FF1E8449"/>
      </font>
      <fill>
        <patternFill>
          <bgColor rgb="FFD5F5E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9E7"/>
      <rgbColor rgb="FFE8F4FB"/>
      <rgbColor rgb="FF660066"/>
      <rgbColor rgb="FFFF8080"/>
      <rgbColor rgb="FF1B5F8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ADBD8"/>
      <rgbColor rgb="FF2E75B6"/>
      <rgbColor rgb="FF33CCCC"/>
      <rgbColor rgb="FF99CC00"/>
      <rgbColor rgb="FFFFCC00"/>
      <rgbColor rgb="FFFF9900"/>
      <rgbColor rgb="FFE67E22"/>
      <rgbColor rgb="FF666699"/>
      <rgbColor rgb="FF969696"/>
      <rgbColor rgb="FF003366"/>
      <rgbColor rgb="FF1E8449"/>
      <rgbColor rgb="FF003300"/>
      <rgbColor rgb="FF5A4010"/>
      <rgbColor rgb="FFC0392B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3" min="3" style="0" width="8"/>
    <col collapsed="false" customWidth="true" hidden="false" outlineLevel="0" max="4" min="4" style="0" width="22"/>
    <col collapsed="false" customWidth="true" hidden="false" outlineLevel="0" max="5" min="5" style="0" width="28"/>
    <col collapsed="false" customWidth="true" hidden="false" outlineLevel="0" max="6" min="6" style="0" width="15"/>
    <col collapsed="false" customWidth="true" hidden="false" outlineLevel="0" max="7" min="7" style="0" width="9"/>
    <col collapsed="false" customWidth="true" hidden="false" outlineLevel="0" max="8" min="8" style="0" width="17"/>
    <col collapsed="false" customWidth="true" hidden="false" outlineLevel="0" max="9" min="9" style="0" width="22"/>
    <col collapsed="false" customWidth="true" hidden="false" outlineLevel="0" max="10" min="10" style="0" width="16"/>
    <col collapsed="false" customWidth="true" hidden="false" outlineLevel="0" max="11" min="11" style="0" width="22"/>
    <col collapsed="false" customWidth="true" hidden="false" outlineLevel="0" max="12" min="12" style="0" width="16"/>
    <col collapsed="false" customWidth="true" hidden="false" outlineLevel="0" max="13" min="13" style="0" width="10"/>
    <col collapsed="false" customWidth="true" hidden="false" outlineLevel="0" max="14" min="14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1001</v>
      </c>
      <c r="B2" s="2" t="n">
        <v>23</v>
      </c>
      <c r="C2" s="2" t="s">
        <v>14</v>
      </c>
      <c r="D2" s="2" t="s">
        <v>15</v>
      </c>
      <c r="E2" s="2" t="s">
        <v>15</v>
      </c>
      <c r="F2" s="2" t="n">
        <v>5526</v>
      </c>
      <c r="G2" s="2" t="s">
        <v>16</v>
      </c>
      <c r="H2" s="2" t="n">
        <v>17</v>
      </c>
      <c r="I2" s="2" t="n">
        <v>1</v>
      </c>
      <c r="J2" s="2" t="n">
        <v>4</v>
      </c>
      <c r="K2" s="2" t="n">
        <v>1</v>
      </c>
      <c r="L2" s="2" t="n">
        <v>1</v>
      </c>
      <c r="M2" s="3" t="s">
        <v>16</v>
      </c>
      <c r="N2" s="2" t="n">
        <v>1</v>
      </c>
    </row>
    <row r="3" customFormat="false" ht="15" hidden="false" customHeight="false" outlineLevel="0" collapsed="false">
      <c r="A3" s="4" t="n">
        <v>1002</v>
      </c>
      <c r="B3" s="4" t="n">
        <v>23</v>
      </c>
      <c r="C3" s="4" t="s">
        <v>17</v>
      </c>
      <c r="D3" s="4" t="s">
        <v>18</v>
      </c>
      <c r="E3" s="4" t="s">
        <v>19</v>
      </c>
      <c r="F3" s="4" t="n">
        <v>6821</v>
      </c>
      <c r="G3" s="4" t="s">
        <v>20</v>
      </c>
      <c r="H3" s="4" t="n">
        <v>17</v>
      </c>
      <c r="I3" s="4" t="n">
        <v>6</v>
      </c>
      <c r="J3" s="4" t="n">
        <v>2</v>
      </c>
      <c r="K3" s="4" t="n">
        <v>4</v>
      </c>
      <c r="L3" s="4" t="n">
        <v>3</v>
      </c>
      <c r="M3" s="5" t="s">
        <v>20</v>
      </c>
      <c r="N3" s="4" t="n">
        <v>0</v>
      </c>
    </row>
    <row r="4" customFormat="false" ht="15" hidden="false" customHeight="false" outlineLevel="0" collapsed="false">
      <c r="A4" s="2" t="n">
        <v>1003</v>
      </c>
      <c r="B4" s="2" t="n">
        <v>49</v>
      </c>
      <c r="C4" s="2" t="s">
        <v>14</v>
      </c>
      <c r="D4" s="2" t="s">
        <v>18</v>
      </c>
      <c r="E4" s="2" t="s">
        <v>21</v>
      </c>
      <c r="F4" s="2" t="n">
        <v>5818</v>
      </c>
      <c r="G4" s="2" t="s">
        <v>20</v>
      </c>
      <c r="H4" s="2" t="n">
        <v>3</v>
      </c>
      <c r="I4" s="2" t="n">
        <v>1</v>
      </c>
      <c r="J4" s="2" t="n">
        <v>4</v>
      </c>
      <c r="K4" s="2" t="n">
        <v>1</v>
      </c>
      <c r="L4" s="2" t="n">
        <v>3</v>
      </c>
      <c r="M4" s="6" t="s">
        <v>20</v>
      </c>
      <c r="N4" s="2" t="n">
        <v>0</v>
      </c>
    </row>
    <row r="5" customFormat="false" ht="15" hidden="false" customHeight="false" outlineLevel="0" collapsed="false">
      <c r="A5" s="4" t="n">
        <v>1004</v>
      </c>
      <c r="B5" s="4" t="n">
        <v>24</v>
      </c>
      <c r="C5" s="4" t="s">
        <v>14</v>
      </c>
      <c r="D5" s="4" t="s">
        <v>15</v>
      </c>
      <c r="E5" s="4" t="s">
        <v>19</v>
      </c>
      <c r="F5" s="4" t="n">
        <v>6528</v>
      </c>
      <c r="G5" s="4" t="s">
        <v>20</v>
      </c>
      <c r="H5" s="4" t="n">
        <v>12</v>
      </c>
      <c r="I5" s="4" t="n">
        <v>1</v>
      </c>
      <c r="J5" s="4" t="n">
        <v>3</v>
      </c>
      <c r="K5" s="4" t="n">
        <v>3</v>
      </c>
      <c r="L5" s="4" t="n">
        <v>2</v>
      </c>
      <c r="M5" s="5" t="s">
        <v>20</v>
      </c>
      <c r="N5" s="4" t="n">
        <v>0</v>
      </c>
    </row>
    <row r="6" customFormat="false" ht="15" hidden="false" customHeight="false" outlineLevel="0" collapsed="false">
      <c r="A6" s="2" t="n">
        <v>1005</v>
      </c>
      <c r="B6" s="2" t="n">
        <v>36</v>
      </c>
      <c r="C6" s="2" t="s">
        <v>14</v>
      </c>
      <c r="D6" s="2" t="s">
        <v>18</v>
      </c>
      <c r="E6" s="2" t="s">
        <v>19</v>
      </c>
      <c r="F6" s="2" t="n">
        <v>8936</v>
      </c>
      <c r="G6" s="2" t="s">
        <v>20</v>
      </c>
      <c r="H6" s="2" t="n">
        <v>12</v>
      </c>
      <c r="I6" s="2" t="n">
        <v>4</v>
      </c>
      <c r="J6" s="2" t="n">
        <v>4</v>
      </c>
      <c r="K6" s="2" t="n">
        <v>3</v>
      </c>
      <c r="L6" s="2" t="n">
        <v>2</v>
      </c>
      <c r="M6" s="6" t="s">
        <v>20</v>
      </c>
      <c r="N6" s="2" t="n">
        <v>0</v>
      </c>
    </row>
    <row r="7" customFormat="false" ht="15" hidden="false" customHeight="false" outlineLevel="0" collapsed="false">
      <c r="A7" s="4" t="n">
        <v>1006</v>
      </c>
      <c r="B7" s="4" t="n">
        <v>39</v>
      </c>
      <c r="C7" s="4" t="s">
        <v>17</v>
      </c>
      <c r="D7" s="4" t="s">
        <v>18</v>
      </c>
      <c r="E7" s="4" t="s">
        <v>19</v>
      </c>
      <c r="F7" s="4" t="n">
        <v>5726</v>
      </c>
      <c r="G7" s="4" t="s">
        <v>20</v>
      </c>
      <c r="H7" s="4" t="n">
        <v>5</v>
      </c>
      <c r="I7" s="4" t="n">
        <v>5</v>
      </c>
      <c r="J7" s="4" t="n">
        <v>2</v>
      </c>
      <c r="K7" s="4" t="n">
        <v>2</v>
      </c>
      <c r="L7" s="4" t="n">
        <v>4</v>
      </c>
      <c r="M7" s="5" t="s">
        <v>20</v>
      </c>
      <c r="N7" s="4" t="n">
        <v>0</v>
      </c>
    </row>
    <row r="8" customFormat="false" ht="15" hidden="false" customHeight="false" outlineLevel="0" collapsed="false">
      <c r="A8" s="2" t="n">
        <v>1007</v>
      </c>
      <c r="B8" s="2" t="n">
        <v>42</v>
      </c>
      <c r="C8" s="2" t="s">
        <v>17</v>
      </c>
      <c r="D8" s="2" t="s">
        <v>15</v>
      </c>
      <c r="E8" s="2" t="s">
        <v>15</v>
      </c>
      <c r="F8" s="2" t="n">
        <v>5550</v>
      </c>
      <c r="G8" s="2" t="s">
        <v>20</v>
      </c>
      <c r="H8" s="2" t="n">
        <v>8</v>
      </c>
      <c r="I8" s="2" t="n">
        <v>1</v>
      </c>
      <c r="J8" s="2" t="n">
        <v>2</v>
      </c>
      <c r="K8" s="2" t="n">
        <v>3</v>
      </c>
      <c r="L8" s="2" t="n">
        <v>2</v>
      </c>
      <c r="M8" s="6" t="s">
        <v>20</v>
      </c>
      <c r="N8" s="2" t="n">
        <v>0</v>
      </c>
    </row>
    <row r="9" customFormat="false" ht="15" hidden="false" customHeight="false" outlineLevel="0" collapsed="false">
      <c r="A9" s="4" t="n">
        <v>1008</v>
      </c>
      <c r="B9" s="4" t="n">
        <v>31</v>
      </c>
      <c r="C9" s="4" t="s">
        <v>14</v>
      </c>
      <c r="D9" s="4" t="s">
        <v>22</v>
      </c>
      <c r="E9" s="4" t="s">
        <v>23</v>
      </c>
      <c r="F9" s="4" t="n">
        <v>6879</v>
      </c>
      <c r="G9" s="4" t="s">
        <v>16</v>
      </c>
      <c r="H9" s="4" t="n">
        <v>17</v>
      </c>
      <c r="I9" s="4" t="n">
        <v>8</v>
      </c>
      <c r="J9" s="4" t="n">
        <v>3</v>
      </c>
      <c r="K9" s="4" t="n">
        <v>4</v>
      </c>
      <c r="L9" s="4" t="n">
        <v>4</v>
      </c>
      <c r="M9" s="5" t="s">
        <v>20</v>
      </c>
      <c r="N9" s="4" t="n">
        <v>0</v>
      </c>
    </row>
    <row r="10" customFormat="false" ht="15" hidden="false" customHeight="false" outlineLevel="0" collapsed="false">
      <c r="A10" s="2" t="n">
        <v>1009</v>
      </c>
      <c r="B10" s="2" t="n">
        <v>53</v>
      </c>
      <c r="C10" s="2" t="s">
        <v>17</v>
      </c>
      <c r="D10" s="2" t="s">
        <v>18</v>
      </c>
      <c r="E10" s="2" t="s">
        <v>19</v>
      </c>
      <c r="F10" s="2" t="n">
        <v>6108</v>
      </c>
      <c r="G10" s="2" t="s">
        <v>16</v>
      </c>
      <c r="H10" s="2" t="n">
        <v>5</v>
      </c>
      <c r="I10" s="2" t="n">
        <v>5</v>
      </c>
      <c r="J10" s="2" t="n">
        <v>4</v>
      </c>
      <c r="K10" s="2" t="n">
        <v>1</v>
      </c>
      <c r="L10" s="2" t="n">
        <v>4</v>
      </c>
      <c r="M10" s="6" t="s">
        <v>20</v>
      </c>
      <c r="N10" s="2" t="n">
        <v>0</v>
      </c>
    </row>
    <row r="11" customFormat="false" ht="15" hidden="false" customHeight="false" outlineLevel="0" collapsed="false">
      <c r="A11" s="4" t="n">
        <v>1010</v>
      </c>
      <c r="B11" s="4" t="n">
        <v>57</v>
      </c>
      <c r="C11" s="4" t="s">
        <v>17</v>
      </c>
      <c r="D11" s="4" t="s">
        <v>22</v>
      </c>
      <c r="E11" s="4" t="s">
        <v>24</v>
      </c>
      <c r="F11" s="4" t="n">
        <v>3521</v>
      </c>
      <c r="G11" s="4" t="s">
        <v>20</v>
      </c>
      <c r="H11" s="4" t="n">
        <v>3</v>
      </c>
      <c r="I11" s="4" t="n">
        <v>3</v>
      </c>
      <c r="J11" s="4" t="n">
        <v>3</v>
      </c>
      <c r="K11" s="4" t="n">
        <v>3</v>
      </c>
      <c r="L11" s="4" t="n">
        <v>1</v>
      </c>
      <c r="M11" s="5" t="s">
        <v>20</v>
      </c>
      <c r="N11" s="4" t="n">
        <v>0</v>
      </c>
    </row>
    <row r="12" customFormat="false" ht="15" hidden="false" customHeight="false" outlineLevel="0" collapsed="false">
      <c r="A12" s="2" t="n">
        <v>1011</v>
      </c>
      <c r="B12" s="2" t="n">
        <v>22</v>
      </c>
      <c r="C12" s="2" t="s">
        <v>14</v>
      </c>
      <c r="D12" s="2" t="s">
        <v>18</v>
      </c>
      <c r="E12" s="2" t="s">
        <v>25</v>
      </c>
      <c r="F12" s="2" t="n">
        <v>8501</v>
      </c>
      <c r="G12" s="2" t="s">
        <v>20</v>
      </c>
      <c r="H12" s="2" t="n">
        <v>3</v>
      </c>
      <c r="I12" s="2" t="n">
        <v>3</v>
      </c>
      <c r="J12" s="2" t="n">
        <v>3</v>
      </c>
      <c r="K12" s="2" t="n">
        <v>2</v>
      </c>
      <c r="L12" s="2" t="n">
        <v>2</v>
      </c>
      <c r="M12" s="6" t="s">
        <v>20</v>
      </c>
      <c r="N12" s="2" t="n">
        <v>0</v>
      </c>
    </row>
    <row r="13" customFormat="false" ht="15" hidden="false" customHeight="false" outlineLevel="0" collapsed="false">
      <c r="A13" s="4" t="n">
        <v>1012</v>
      </c>
      <c r="B13" s="4" t="n">
        <v>55</v>
      </c>
      <c r="C13" s="4" t="s">
        <v>17</v>
      </c>
      <c r="D13" s="4" t="s">
        <v>18</v>
      </c>
      <c r="E13" s="4" t="s">
        <v>19</v>
      </c>
      <c r="F13" s="4" t="n">
        <v>5553</v>
      </c>
      <c r="G13" s="4" t="s">
        <v>20</v>
      </c>
      <c r="H13" s="4" t="n">
        <v>15</v>
      </c>
      <c r="I13" s="4" t="n">
        <v>0</v>
      </c>
      <c r="J13" s="4" t="n">
        <v>1</v>
      </c>
      <c r="K13" s="4" t="n">
        <v>3</v>
      </c>
      <c r="L13" s="4" t="n">
        <v>3</v>
      </c>
      <c r="M13" s="7" t="s">
        <v>16</v>
      </c>
      <c r="N13" s="4" t="n">
        <v>1</v>
      </c>
    </row>
    <row r="14" customFormat="false" ht="15" hidden="false" customHeight="false" outlineLevel="0" collapsed="false">
      <c r="A14" s="2" t="n">
        <v>1013</v>
      </c>
      <c r="B14" s="2" t="n">
        <v>27</v>
      </c>
      <c r="C14" s="2" t="s">
        <v>17</v>
      </c>
      <c r="D14" s="2" t="s">
        <v>18</v>
      </c>
      <c r="E14" s="2" t="s">
        <v>19</v>
      </c>
      <c r="F14" s="2" t="n">
        <v>5686</v>
      </c>
      <c r="G14" s="2" t="s">
        <v>20</v>
      </c>
      <c r="H14" s="2" t="n">
        <v>17</v>
      </c>
      <c r="I14" s="2" t="n">
        <v>12</v>
      </c>
      <c r="J14" s="2" t="n">
        <v>2</v>
      </c>
      <c r="K14" s="2" t="n">
        <v>2</v>
      </c>
      <c r="L14" s="2" t="n">
        <v>4</v>
      </c>
      <c r="M14" s="6" t="s">
        <v>20</v>
      </c>
      <c r="N14" s="2" t="n">
        <v>0</v>
      </c>
    </row>
    <row r="15" customFormat="false" ht="15" hidden="false" customHeight="false" outlineLevel="0" collapsed="false">
      <c r="A15" s="4" t="n">
        <v>1014</v>
      </c>
      <c r="B15" s="4" t="n">
        <v>55</v>
      </c>
      <c r="C15" s="4" t="s">
        <v>14</v>
      </c>
      <c r="D15" s="4" t="s">
        <v>18</v>
      </c>
      <c r="E15" s="4" t="s">
        <v>25</v>
      </c>
      <c r="F15" s="4" t="n">
        <v>3257</v>
      </c>
      <c r="G15" s="4" t="s">
        <v>20</v>
      </c>
      <c r="H15" s="4" t="n">
        <v>17</v>
      </c>
      <c r="I15" s="4" t="n">
        <v>12</v>
      </c>
      <c r="J15" s="4" t="n">
        <v>2</v>
      </c>
      <c r="K15" s="4" t="n">
        <v>3</v>
      </c>
      <c r="L15" s="4" t="n">
        <v>4</v>
      </c>
      <c r="M15" s="5" t="s">
        <v>20</v>
      </c>
      <c r="N15" s="4" t="n">
        <v>0</v>
      </c>
    </row>
    <row r="16" customFormat="false" ht="15" hidden="false" customHeight="false" outlineLevel="0" collapsed="false">
      <c r="A16" s="2" t="n">
        <v>1015</v>
      </c>
      <c r="B16" s="2" t="n">
        <v>50</v>
      </c>
      <c r="C16" s="2" t="s">
        <v>14</v>
      </c>
      <c r="D16" s="2" t="s">
        <v>15</v>
      </c>
      <c r="E16" s="2" t="s">
        <v>19</v>
      </c>
      <c r="F16" s="2" t="n">
        <v>6275</v>
      </c>
      <c r="G16" s="2" t="s">
        <v>20</v>
      </c>
      <c r="H16" s="2" t="n">
        <v>18</v>
      </c>
      <c r="I16" s="2" t="n">
        <v>8</v>
      </c>
      <c r="J16" s="2" t="n">
        <v>2</v>
      </c>
      <c r="K16" s="2" t="n">
        <v>2</v>
      </c>
      <c r="L16" s="2" t="n">
        <v>1</v>
      </c>
      <c r="M16" s="3" t="s">
        <v>16</v>
      </c>
      <c r="N16" s="2" t="n">
        <v>1</v>
      </c>
    </row>
    <row r="17" customFormat="false" ht="15" hidden="false" customHeight="false" outlineLevel="0" collapsed="false">
      <c r="A17" s="4" t="n">
        <v>1016</v>
      </c>
      <c r="B17" s="4" t="n">
        <v>36</v>
      </c>
      <c r="C17" s="4" t="s">
        <v>17</v>
      </c>
      <c r="D17" s="4" t="s">
        <v>15</v>
      </c>
      <c r="E17" s="4" t="s">
        <v>15</v>
      </c>
      <c r="F17" s="4" t="n">
        <v>6237</v>
      </c>
      <c r="G17" s="4" t="s">
        <v>20</v>
      </c>
      <c r="H17" s="4" t="n">
        <v>10</v>
      </c>
      <c r="I17" s="4" t="n">
        <v>1</v>
      </c>
      <c r="J17" s="4" t="n">
        <v>2</v>
      </c>
      <c r="K17" s="4" t="n">
        <v>3</v>
      </c>
      <c r="L17" s="4" t="n">
        <v>4</v>
      </c>
      <c r="M17" s="7" t="s">
        <v>16</v>
      </c>
      <c r="N17" s="4" t="n">
        <v>1</v>
      </c>
    </row>
    <row r="18" customFormat="false" ht="15" hidden="false" customHeight="false" outlineLevel="0" collapsed="false">
      <c r="A18" s="2" t="n">
        <v>1017</v>
      </c>
      <c r="B18" s="2" t="n">
        <v>58</v>
      </c>
      <c r="C18" s="2" t="s">
        <v>14</v>
      </c>
      <c r="D18" s="2" t="s">
        <v>18</v>
      </c>
      <c r="E18" s="2" t="s">
        <v>19</v>
      </c>
      <c r="F18" s="2" t="n">
        <v>6074</v>
      </c>
      <c r="G18" s="2" t="s">
        <v>20</v>
      </c>
      <c r="H18" s="2" t="n">
        <v>3</v>
      </c>
      <c r="I18" s="2" t="n">
        <v>1</v>
      </c>
      <c r="J18" s="2" t="n">
        <v>4</v>
      </c>
      <c r="K18" s="2" t="n">
        <v>3</v>
      </c>
      <c r="L18" s="2" t="n">
        <v>4</v>
      </c>
      <c r="M18" s="6" t="s">
        <v>20</v>
      </c>
      <c r="N18" s="2" t="n">
        <v>0</v>
      </c>
    </row>
    <row r="19" customFormat="false" ht="15" hidden="false" customHeight="false" outlineLevel="0" collapsed="false">
      <c r="A19" s="4" t="n">
        <v>1018</v>
      </c>
      <c r="B19" s="4" t="n">
        <v>28</v>
      </c>
      <c r="C19" s="4" t="s">
        <v>17</v>
      </c>
      <c r="D19" s="4" t="s">
        <v>15</v>
      </c>
      <c r="E19" s="4" t="s">
        <v>15</v>
      </c>
      <c r="F19" s="4" t="n">
        <v>7196</v>
      </c>
      <c r="G19" s="4" t="s">
        <v>20</v>
      </c>
      <c r="H19" s="4" t="n">
        <v>10</v>
      </c>
      <c r="I19" s="4" t="n">
        <v>10</v>
      </c>
      <c r="J19" s="4" t="n">
        <v>1</v>
      </c>
      <c r="K19" s="4" t="n">
        <v>2</v>
      </c>
      <c r="L19" s="4" t="n">
        <v>2</v>
      </c>
      <c r="M19" s="7" t="s">
        <v>16</v>
      </c>
      <c r="N19" s="4" t="n">
        <v>1</v>
      </c>
    </row>
    <row r="20" customFormat="false" ht="15" hidden="false" customHeight="false" outlineLevel="0" collapsed="false">
      <c r="A20" s="2" t="n">
        <v>1019</v>
      </c>
      <c r="B20" s="2" t="n">
        <v>49</v>
      </c>
      <c r="C20" s="2" t="s">
        <v>17</v>
      </c>
      <c r="D20" s="2" t="s">
        <v>22</v>
      </c>
      <c r="E20" s="2" t="s">
        <v>26</v>
      </c>
      <c r="F20" s="2" t="n">
        <v>6297</v>
      </c>
      <c r="G20" s="2" t="s">
        <v>20</v>
      </c>
      <c r="H20" s="2" t="n">
        <v>14</v>
      </c>
      <c r="I20" s="2" t="n">
        <v>12</v>
      </c>
      <c r="J20" s="2" t="n">
        <v>1</v>
      </c>
      <c r="K20" s="2" t="n">
        <v>1</v>
      </c>
      <c r="L20" s="2" t="n">
        <v>1</v>
      </c>
      <c r="M20" s="6" t="s">
        <v>20</v>
      </c>
      <c r="N20" s="2" t="n">
        <v>0</v>
      </c>
    </row>
    <row r="21" customFormat="false" ht="15" hidden="false" customHeight="false" outlineLevel="0" collapsed="false">
      <c r="A21" s="4" t="n">
        <v>1020</v>
      </c>
      <c r="B21" s="4" t="n">
        <v>48</v>
      </c>
      <c r="C21" s="4" t="s">
        <v>14</v>
      </c>
      <c r="D21" s="4" t="s">
        <v>18</v>
      </c>
      <c r="E21" s="4" t="s">
        <v>21</v>
      </c>
      <c r="F21" s="4" t="n">
        <v>7119</v>
      </c>
      <c r="G21" s="4" t="s">
        <v>20</v>
      </c>
      <c r="H21" s="4" t="n">
        <v>12</v>
      </c>
      <c r="I21" s="4" t="n">
        <v>0</v>
      </c>
      <c r="J21" s="4" t="n">
        <v>2</v>
      </c>
      <c r="K21" s="4" t="n">
        <v>4</v>
      </c>
      <c r="L21" s="4" t="n">
        <v>1</v>
      </c>
      <c r="M21" s="5" t="s">
        <v>20</v>
      </c>
      <c r="N21" s="4" t="n">
        <v>0</v>
      </c>
    </row>
    <row r="22" customFormat="false" ht="15" hidden="false" customHeight="false" outlineLevel="0" collapsed="false">
      <c r="A22" s="2" t="n">
        <v>1021</v>
      </c>
      <c r="B22" s="2" t="n">
        <v>40</v>
      </c>
      <c r="C22" s="2" t="s">
        <v>14</v>
      </c>
      <c r="D22" s="2" t="s">
        <v>22</v>
      </c>
      <c r="E22" s="2" t="s">
        <v>23</v>
      </c>
      <c r="F22" s="2" t="n">
        <v>5700</v>
      </c>
      <c r="G22" s="2" t="s">
        <v>20</v>
      </c>
      <c r="H22" s="2" t="n">
        <v>15</v>
      </c>
      <c r="I22" s="2" t="n">
        <v>2</v>
      </c>
      <c r="J22" s="2" t="n">
        <v>2</v>
      </c>
      <c r="K22" s="2" t="n">
        <v>3</v>
      </c>
      <c r="L22" s="2" t="n">
        <v>2</v>
      </c>
      <c r="M22" s="6" t="s">
        <v>20</v>
      </c>
      <c r="N22" s="2" t="n">
        <v>0</v>
      </c>
    </row>
    <row r="23" customFormat="false" ht="15" hidden="false" customHeight="false" outlineLevel="0" collapsed="false">
      <c r="A23" s="4" t="n">
        <v>1022</v>
      </c>
      <c r="B23" s="4" t="n">
        <v>42</v>
      </c>
      <c r="C23" s="4" t="s">
        <v>17</v>
      </c>
      <c r="D23" s="4" t="s">
        <v>15</v>
      </c>
      <c r="E23" s="4" t="s">
        <v>15</v>
      </c>
      <c r="F23" s="4" t="n">
        <v>3206</v>
      </c>
      <c r="G23" s="4" t="s">
        <v>16</v>
      </c>
      <c r="H23" s="4" t="n">
        <v>15</v>
      </c>
      <c r="I23" s="4" t="n">
        <v>8</v>
      </c>
      <c r="J23" s="4" t="n">
        <v>2</v>
      </c>
      <c r="K23" s="4" t="n">
        <v>1</v>
      </c>
      <c r="L23" s="4" t="n">
        <v>1</v>
      </c>
      <c r="M23" s="5" t="s">
        <v>20</v>
      </c>
      <c r="N23" s="4" t="n">
        <v>0</v>
      </c>
    </row>
    <row r="24" customFormat="false" ht="15" hidden="false" customHeight="false" outlineLevel="0" collapsed="false">
      <c r="A24" s="2" t="n">
        <v>1023</v>
      </c>
      <c r="B24" s="2" t="n">
        <v>26</v>
      </c>
      <c r="C24" s="2" t="s">
        <v>17</v>
      </c>
      <c r="D24" s="2" t="s">
        <v>18</v>
      </c>
      <c r="E24" s="2" t="s">
        <v>19</v>
      </c>
      <c r="F24" s="2" t="n">
        <v>3058</v>
      </c>
      <c r="G24" s="2" t="s">
        <v>20</v>
      </c>
      <c r="H24" s="2" t="n">
        <v>18</v>
      </c>
      <c r="I24" s="2" t="n">
        <v>9</v>
      </c>
      <c r="J24" s="2" t="n">
        <v>1</v>
      </c>
      <c r="K24" s="2" t="n">
        <v>1</v>
      </c>
      <c r="L24" s="2" t="n">
        <v>4</v>
      </c>
      <c r="M24" s="6" t="s">
        <v>20</v>
      </c>
      <c r="N24" s="2" t="n">
        <v>0</v>
      </c>
    </row>
    <row r="25" customFormat="false" ht="15" hidden="false" customHeight="false" outlineLevel="0" collapsed="false">
      <c r="A25" s="4" t="n">
        <v>1024</v>
      </c>
      <c r="B25" s="4" t="n">
        <v>38</v>
      </c>
      <c r="C25" s="4" t="s">
        <v>17</v>
      </c>
      <c r="D25" s="4" t="s">
        <v>15</v>
      </c>
      <c r="E25" s="4" t="s">
        <v>19</v>
      </c>
      <c r="F25" s="4" t="n">
        <v>7532</v>
      </c>
      <c r="G25" s="4" t="s">
        <v>20</v>
      </c>
      <c r="H25" s="4" t="n">
        <v>10</v>
      </c>
      <c r="I25" s="4" t="n">
        <v>3</v>
      </c>
      <c r="J25" s="4" t="n">
        <v>3</v>
      </c>
      <c r="K25" s="4" t="n">
        <v>4</v>
      </c>
      <c r="L25" s="4" t="n">
        <v>2</v>
      </c>
      <c r="M25" s="5" t="s">
        <v>20</v>
      </c>
      <c r="N25" s="4" t="n">
        <v>0</v>
      </c>
    </row>
    <row r="26" customFormat="false" ht="15" hidden="false" customHeight="false" outlineLevel="0" collapsed="false">
      <c r="A26" s="2" t="n">
        <v>1025</v>
      </c>
      <c r="B26" s="2" t="n">
        <v>42</v>
      </c>
      <c r="C26" s="2" t="s">
        <v>17</v>
      </c>
      <c r="D26" s="2" t="s">
        <v>22</v>
      </c>
      <c r="E26" s="2" t="s">
        <v>23</v>
      </c>
      <c r="F26" s="2" t="n">
        <v>8586</v>
      </c>
      <c r="G26" s="2" t="s">
        <v>20</v>
      </c>
      <c r="H26" s="2" t="n">
        <v>3</v>
      </c>
      <c r="I26" s="2" t="n">
        <v>1</v>
      </c>
      <c r="J26" s="2" t="n">
        <v>2</v>
      </c>
      <c r="K26" s="2" t="n">
        <v>3</v>
      </c>
      <c r="L26" s="2" t="n">
        <v>2</v>
      </c>
      <c r="M26" s="6" t="s">
        <v>20</v>
      </c>
      <c r="N26" s="2" t="n">
        <v>0</v>
      </c>
    </row>
    <row r="27" customFormat="false" ht="15" hidden="false" customHeight="false" outlineLevel="0" collapsed="false">
      <c r="A27" s="4" t="n">
        <v>1026</v>
      </c>
      <c r="B27" s="4" t="n">
        <v>45</v>
      </c>
      <c r="C27" s="4" t="s">
        <v>14</v>
      </c>
      <c r="D27" s="4" t="s">
        <v>18</v>
      </c>
      <c r="E27" s="4" t="s">
        <v>21</v>
      </c>
      <c r="F27" s="4" t="n">
        <v>6122</v>
      </c>
      <c r="G27" s="4" t="s">
        <v>16</v>
      </c>
      <c r="H27" s="4" t="n">
        <v>17</v>
      </c>
      <c r="I27" s="4" t="n">
        <v>11</v>
      </c>
      <c r="J27" s="4" t="n">
        <v>3</v>
      </c>
      <c r="K27" s="4" t="n">
        <v>1</v>
      </c>
      <c r="L27" s="4" t="n">
        <v>3</v>
      </c>
      <c r="M27" s="5" t="s">
        <v>20</v>
      </c>
      <c r="N27" s="4" t="n">
        <v>0</v>
      </c>
    </row>
    <row r="28" customFormat="false" ht="15" hidden="false" customHeight="false" outlineLevel="0" collapsed="false">
      <c r="A28" s="2" t="n">
        <v>1027</v>
      </c>
      <c r="B28" s="2" t="n">
        <v>38</v>
      </c>
      <c r="C28" s="2" t="s">
        <v>17</v>
      </c>
      <c r="D28" s="2" t="s">
        <v>18</v>
      </c>
      <c r="E28" s="2" t="s">
        <v>21</v>
      </c>
      <c r="F28" s="2" t="n">
        <v>7900</v>
      </c>
      <c r="G28" s="2" t="s">
        <v>16</v>
      </c>
      <c r="H28" s="2" t="n">
        <v>9</v>
      </c>
      <c r="I28" s="2" t="n">
        <v>9</v>
      </c>
      <c r="J28" s="2" t="n">
        <v>2</v>
      </c>
      <c r="K28" s="2" t="n">
        <v>3</v>
      </c>
      <c r="L28" s="2" t="n">
        <v>2</v>
      </c>
      <c r="M28" s="6" t="s">
        <v>20</v>
      </c>
      <c r="N28" s="2" t="n">
        <v>0</v>
      </c>
    </row>
    <row r="29" customFormat="false" ht="15" hidden="false" customHeight="false" outlineLevel="0" collapsed="false">
      <c r="A29" s="4" t="n">
        <v>1028</v>
      </c>
      <c r="B29" s="4" t="n">
        <v>38</v>
      </c>
      <c r="C29" s="4" t="s">
        <v>17</v>
      </c>
      <c r="D29" s="4" t="s">
        <v>22</v>
      </c>
      <c r="E29" s="4" t="s">
        <v>23</v>
      </c>
      <c r="F29" s="4" t="n">
        <v>4921</v>
      </c>
      <c r="G29" s="4" t="s">
        <v>16</v>
      </c>
      <c r="H29" s="4" t="n">
        <v>13</v>
      </c>
      <c r="I29" s="4" t="n">
        <v>4</v>
      </c>
      <c r="J29" s="4" t="n">
        <v>1</v>
      </c>
      <c r="K29" s="4" t="n">
        <v>1</v>
      </c>
      <c r="L29" s="4" t="n">
        <v>3</v>
      </c>
      <c r="M29" s="5" t="s">
        <v>20</v>
      </c>
      <c r="N29" s="4" t="n">
        <v>0</v>
      </c>
    </row>
    <row r="30" customFormat="false" ht="15" hidden="false" customHeight="false" outlineLevel="0" collapsed="false">
      <c r="A30" s="2" t="n">
        <v>1029</v>
      </c>
      <c r="B30" s="2" t="n">
        <v>32</v>
      </c>
      <c r="C30" s="2" t="s">
        <v>14</v>
      </c>
      <c r="D30" s="2" t="s">
        <v>15</v>
      </c>
      <c r="E30" s="2" t="s">
        <v>19</v>
      </c>
      <c r="F30" s="2" t="n">
        <v>3998</v>
      </c>
      <c r="G30" s="2" t="s">
        <v>16</v>
      </c>
      <c r="H30" s="2" t="n">
        <v>2</v>
      </c>
      <c r="I30" s="2" t="n">
        <v>2</v>
      </c>
      <c r="J30" s="2" t="n">
        <v>2</v>
      </c>
      <c r="K30" s="2" t="n">
        <v>1</v>
      </c>
      <c r="L30" s="2" t="n">
        <v>3</v>
      </c>
      <c r="M30" s="6" t="s">
        <v>20</v>
      </c>
      <c r="N30" s="2" t="n">
        <v>0</v>
      </c>
    </row>
    <row r="31" customFormat="false" ht="15" hidden="false" customHeight="false" outlineLevel="0" collapsed="false">
      <c r="A31" s="4" t="n">
        <v>1030</v>
      </c>
      <c r="B31" s="4" t="n">
        <v>30</v>
      </c>
      <c r="C31" s="4" t="s">
        <v>17</v>
      </c>
      <c r="D31" s="4" t="s">
        <v>18</v>
      </c>
      <c r="E31" s="4" t="s">
        <v>25</v>
      </c>
      <c r="F31" s="4" t="n">
        <v>5494</v>
      </c>
      <c r="G31" s="4" t="s">
        <v>20</v>
      </c>
      <c r="H31" s="4" t="n">
        <v>1</v>
      </c>
      <c r="I31" s="4" t="n">
        <v>1</v>
      </c>
      <c r="J31" s="4" t="n">
        <v>2</v>
      </c>
      <c r="K31" s="4" t="n">
        <v>2</v>
      </c>
      <c r="L31" s="4" t="n">
        <v>1</v>
      </c>
      <c r="M31" s="5" t="s">
        <v>20</v>
      </c>
      <c r="N31" s="4" t="n">
        <v>0</v>
      </c>
    </row>
    <row r="32" customFormat="false" ht="15" hidden="false" customHeight="false" outlineLevel="0" collapsed="false">
      <c r="A32" s="2" t="n">
        <v>1031</v>
      </c>
      <c r="B32" s="2" t="n">
        <v>31</v>
      </c>
      <c r="C32" s="2" t="s">
        <v>17</v>
      </c>
      <c r="D32" s="2" t="s">
        <v>15</v>
      </c>
      <c r="E32" s="2" t="s">
        <v>19</v>
      </c>
      <c r="F32" s="2" t="n">
        <v>8204</v>
      </c>
      <c r="G32" s="2" t="s">
        <v>20</v>
      </c>
      <c r="H32" s="2" t="n">
        <v>13</v>
      </c>
      <c r="I32" s="2" t="n">
        <v>0</v>
      </c>
      <c r="J32" s="2" t="n">
        <v>2</v>
      </c>
      <c r="K32" s="2" t="n">
        <v>3</v>
      </c>
      <c r="L32" s="2" t="n">
        <v>4</v>
      </c>
      <c r="M32" s="6" t="s">
        <v>20</v>
      </c>
      <c r="N32" s="2" t="n">
        <v>0</v>
      </c>
    </row>
    <row r="33" customFormat="false" ht="15" hidden="false" customHeight="false" outlineLevel="0" collapsed="false">
      <c r="A33" s="4" t="n">
        <v>1032</v>
      </c>
      <c r="B33" s="4" t="n">
        <v>39</v>
      </c>
      <c r="C33" s="4" t="s">
        <v>17</v>
      </c>
      <c r="D33" s="4" t="s">
        <v>15</v>
      </c>
      <c r="E33" s="4" t="s">
        <v>15</v>
      </c>
      <c r="F33" s="4" t="n">
        <v>2500</v>
      </c>
      <c r="G33" s="4" t="s">
        <v>20</v>
      </c>
      <c r="H33" s="4" t="n">
        <v>3</v>
      </c>
      <c r="I33" s="4" t="n">
        <v>3</v>
      </c>
      <c r="J33" s="4" t="n">
        <v>1</v>
      </c>
      <c r="K33" s="4" t="n">
        <v>4</v>
      </c>
      <c r="L33" s="4" t="n">
        <v>2</v>
      </c>
      <c r="M33" s="7" t="s">
        <v>16</v>
      </c>
      <c r="N33" s="4" t="n">
        <v>1</v>
      </c>
    </row>
    <row r="34" customFormat="false" ht="15" hidden="false" customHeight="false" outlineLevel="0" collapsed="false">
      <c r="A34" s="2" t="n">
        <v>1033</v>
      </c>
      <c r="B34" s="2" t="n">
        <v>41</v>
      </c>
      <c r="C34" s="2" t="s">
        <v>17</v>
      </c>
      <c r="D34" s="2" t="s">
        <v>22</v>
      </c>
      <c r="E34" s="2" t="s">
        <v>24</v>
      </c>
      <c r="F34" s="2" t="n">
        <v>6873</v>
      </c>
      <c r="G34" s="2" t="s">
        <v>20</v>
      </c>
      <c r="H34" s="2" t="n">
        <v>8</v>
      </c>
      <c r="I34" s="2" t="n">
        <v>1</v>
      </c>
      <c r="J34" s="2" t="n">
        <v>3</v>
      </c>
      <c r="K34" s="2" t="n">
        <v>3</v>
      </c>
      <c r="L34" s="2" t="n">
        <v>4</v>
      </c>
      <c r="M34" s="6" t="s">
        <v>20</v>
      </c>
      <c r="N34" s="2" t="n">
        <v>0</v>
      </c>
    </row>
    <row r="35" customFormat="false" ht="15" hidden="false" customHeight="false" outlineLevel="0" collapsed="false">
      <c r="A35" s="4" t="n">
        <v>1034</v>
      </c>
      <c r="B35" s="4" t="n">
        <v>23</v>
      </c>
      <c r="C35" s="4" t="s">
        <v>17</v>
      </c>
      <c r="D35" s="4" t="s">
        <v>15</v>
      </c>
      <c r="E35" s="4" t="s">
        <v>19</v>
      </c>
      <c r="F35" s="4" t="n">
        <v>7671</v>
      </c>
      <c r="G35" s="4" t="s">
        <v>20</v>
      </c>
      <c r="H35" s="4" t="n">
        <v>8</v>
      </c>
      <c r="I35" s="4" t="n">
        <v>2</v>
      </c>
      <c r="J35" s="4" t="n">
        <v>3</v>
      </c>
      <c r="K35" s="4" t="n">
        <v>1</v>
      </c>
      <c r="L35" s="4" t="n">
        <v>1</v>
      </c>
      <c r="M35" s="5" t="s">
        <v>20</v>
      </c>
      <c r="N35" s="4" t="n">
        <v>0</v>
      </c>
    </row>
    <row r="36" customFormat="false" ht="15" hidden="false" customHeight="false" outlineLevel="0" collapsed="false">
      <c r="A36" s="2" t="n">
        <v>1035</v>
      </c>
      <c r="B36" s="2" t="n">
        <v>49</v>
      </c>
      <c r="C36" s="2" t="s">
        <v>17</v>
      </c>
      <c r="D36" s="2" t="s">
        <v>22</v>
      </c>
      <c r="E36" s="2" t="s">
        <v>24</v>
      </c>
      <c r="F36" s="2" t="n">
        <v>5023</v>
      </c>
      <c r="G36" s="2" t="s">
        <v>16</v>
      </c>
      <c r="H36" s="2" t="n">
        <v>13</v>
      </c>
      <c r="I36" s="2" t="n">
        <v>0</v>
      </c>
      <c r="J36" s="2" t="n">
        <v>2</v>
      </c>
      <c r="K36" s="2" t="n">
        <v>3</v>
      </c>
      <c r="L36" s="2" t="n">
        <v>4</v>
      </c>
      <c r="M36" s="3" t="s">
        <v>16</v>
      </c>
      <c r="N36" s="2" t="n">
        <v>1</v>
      </c>
    </row>
    <row r="37" customFormat="false" ht="15" hidden="false" customHeight="false" outlineLevel="0" collapsed="false">
      <c r="A37" s="4" t="n">
        <v>1036</v>
      </c>
      <c r="B37" s="4" t="n">
        <v>42</v>
      </c>
      <c r="C37" s="4" t="s">
        <v>17</v>
      </c>
      <c r="D37" s="4" t="s">
        <v>15</v>
      </c>
      <c r="E37" s="4" t="s">
        <v>19</v>
      </c>
      <c r="F37" s="4" t="n">
        <v>6798</v>
      </c>
      <c r="G37" s="4" t="s">
        <v>20</v>
      </c>
      <c r="H37" s="4" t="n">
        <v>9</v>
      </c>
      <c r="I37" s="4" t="n">
        <v>8</v>
      </c>
      <c r="J37" s="4" t="n">
        <v>3</v>
      </c>
      <c r="K37" s="4" t="n">
        <v>4</v>
      </c>
      <c r="L37" s="4" t="n">
        <v>3</v>
      </c>
      <c r="M37" s="5" t="s">
        <v>20</v>
      </c>
      <c r="N37" s="4" t="n">
        <v>0</v>
      </c>
    </row>
    <row r="38" customFormat="false" ht="15" hidden="false" customHeight="false" outlineLevel="0" collapsed="false">
      <c r="A38" s="2" t="n">
        <v>1037</v>
      </c>
      <c r="B38" s="2" t="n">
        <v>34</v>
      </c>
      <c r="C38" s="2" t="s">
        <v>14</v>
      </c>
      <c r="D38" s="2" t="s">
        <v>22</v>
      </c>
      <c r="E38" s="2" t="s">
        <v>26</v>
      </c>
      <c r="F38" s="2" t="n">
        <v>5753</v>
      </c>
      <c r="G38" s="2" t="s">
        <v>20</v>
      </c>
      <c r="H38" s="2" t="n">
        <v>5</v>
      </c>
      <c r="I38" s="2" t="n">
        <v>5</v>
      </c>
      <c r="J38" s="2" t="n">
        <v>3</v>
      </c>
      <c r="K38" s="2" t="n">
        <v>4</v>
      </c>
      <c r="L38" s="2" t="n">
        <v>1</v>
      </c>
      <c r="M38" s="6" t="s">
        <v>20</v>
      </c>
      <c r="N38" s="2" t="n">
        <v>0</v>
      </c>
    </row>
    <row r="39" customFormat="false" ht="15" hidden="false" customHeight="false" outlineLevel="0" collapsed="false">
      <c r="A39" s="4" t="n">
        <v>1038</v>
      </c>
      <c r="B39" s="4" t="n">
        <v>42</v>
      </c>
      <c r="C39" s="4" t="s">
        <v>14</v>
      </c>
      <c r="D39" s="4" t="s">
        <v>18</v>
      </c>
      <c r="E39" s="4" t="s">
        <v>25</v>
      </c>
      <c r="F39" s="4" t="n">
        <v>4739</v>
      </c>
      <c r="G39" s="4" t="s">
        <v>20</v>
      </c>
      <c r="H39" s="4" t="n">
        <v>6</v>
      </c>
      <c r="I39" s="4" t="n">
        <v>6</v>
      </c>
      <c r="J39" s="4" t="n">
        <v>4</v>
      </c>
      <c r="K39" s="4" t="n">
        <v>2</v>
      </c>
      <c r="L39" s="4" t="n">
        <v>1</v>
      </c>
      <c r="M39" s="5" t="s">
        <v>20</v>
      </c>
      <c r="N39" s="4" t="n">
        <v>0</v>
      </c>
    </row>
    <row r="40" customFormat="false" ht="15" hidden="false" customHeight="false" outlineLevel="0" collapsed="false">
      <c r="A40" s="2" t="n">
        <v>1039</v>
      </c>
      <c r="B40" s="2" t="n">
        <v>27</v>
      </c>
      <c r="C40" s="2" t="s">
        <v>17</v>
      </c>
      <c r="D40" s="2" t="s">
        <v>15</v>
      </c>
      <c r="E40" s="2" t="s">
        <v>19</v>
      </c>
      <c r="F40" s="2" t="n">
        <v>5001</v>
      </c>
      <c r="G40" s="2" t="s">
        <v>16</v>
      </c>
      <c r="H40" s="2" t="n">
        <v>0</v>
      </c>
      <c r="I40" s="2" t="n">
        <v>0</v>
      </c>
      <c r="J40" s="2" t="n">
        <v>2</v>
      </c>
      <c r="K40" s="2" t="n">
        <v>4</v>
      </c>
      <c r="L40" s="2" t="n">
        <v>1</v>
      </c>
      <c r="M40" s="3" t="s">
        <v>16</v>
      </c>
      <c r="N40" s="2" t="n">
        <v>1</v>
      </c>
    </row>
    <row r="41" customFormat="false" ht="15" hidden="false" customHeight="false" outlineLevel="0" collapsed="false">
      <c r="A41" s="4" t="n">
        <v>1040</v>
      </c>
      <c r="B41" s="4" t="n">
        <v>46</v>
      </c>
      <c r="C41" s="4" t="s">
        <v>14</v>
      </c>
      <c r="D41" s="4" t="s">
        <v>15</v>
      </c>
      <c r="E41" s="4" t="s">
        <v>15</v>
      </c>
      <c r="F41" s="4" t="n">
        <v>4553</v>
      </c>
      <c r="G41" s="4" t="s">
        <v>20</v>
      </c>
      <c r="H41" s="4" t="n">
        <v>4</v>
      </c>
      <c r="I41" s="4" t="n">
        <v>4</v>
      </c>
      <c r="J41" s="4" t="n">
        <v>1</v>
      </c>
      <c r="K41" s="4" t="n">
        <v>1</v>
      </c>
      <c r="L41" s="4" t="n">
        <v>4</v>
      </c>
      <c r="M41" s="7" t="s">
        <v>16</v>
      </c>
      <c r="N41" s="4" t="n">
        <v>1</v>
      </c>
    </row>
    <row r="42" customFormat="false" ht="15" hidden="false" customHeight="false" outlineLevel="0" collapsed="false">
      <c r="A42" s="2" t="n">
        <v>1041</v>
      </c>
      <c r="B42" s="2" t="n">
        <v>25</v>
      </c>
      <c r="C42" s="2" t="s">
        <v>17</v>
      </c>
      <c r="D42" s="2" t="s">
        <v>15</v>
      </c>
      <c r="E42" s="2" t="s">
        <v>19</v>
      </c>
      <c r="F42" s="2" t="n">
        <v>6162</v>
      </c>
      <c r="G42" s="2" t="s">
        <v>16</v>
      </c>
      <c r="H42" s="2" t="n">
        <v>14</v>
      </c>
      <c r="I42" s="2" t="n">
        <v>10</v>
      </c>
      <c r="J42" s="2" t="n">
        <v>3</v>
      </c>
      <c r="K42" s="2" t="n">
        <v>4</v>
      </c>
      <c r="L42" s="2" t="n">
        <v>4</v>
      </c>
      <c r="M42" s="6" t="s">
        <v>20</v>
      </c>
      <c r="N42" s="2" t="n">
        <v>0</v>
      </c>
    </row>
    <row r="43" customFormat="false" ht="15" hidden="false" customHeight="false" outlineLevel="0" collapsed="false">
      <c r="A43" s="4" t="n">
        <v>1042</v>
      </c>
      <c r="B43" s="4" t="n">
        <v>32</v>
      </c>
      <c r="C43" s="4" t="s">
        <v>14</v>
      </c>
      <c r="D43" s="4" t="s">
        <v>15</v>
      </c>
      <c r="E43" s="4" t="s">
        <v>19</v>
      </c>
      <c r="F43" s="4" t="n">
        <v>5121</v>
      </c>
      <c r="G43" s="4" t="s">
        <v>20</v>
      </c>
      <c r="H43" s="4" t="n">
        <v>7</v>
      </c>
      <c r="I43" s="4" t="n">
        <v>7</v>
      </c>
      <c r="J43" s="4" t="n">
        <v>3</v>
      </c>
      <c r="K43" s="4" t="n">
        <v>4</v>
      </c>
      <c r="L43" s="4" t="n">
        <v>2</v>
      </c>
      <c r="M43" s="5" t="s">
        <v>20</v>
      </c>
      <c r="N43" s="4" t="n">
        <v>0</v>
      </c>
    </row>
    <row r="44" customFormat="false" ht="15" hidden="false" customHeight="false" outlineLevel="0" collapsed="false">
      <c r="A44" s="2" t="n">
        <v>1043</v>
      </c>
      <c r="B44" s="2" t="n">
        <v>40</v>
      </c>
      <c r="C44" s="2" t="s">
        <v>17</v>
      </c>
      <c r="D44" s="2" t="s">
        <v>18</v>
      </c>
      <c r="E44" s="2" t="s">
        <v>19</v>
      </c>
      <c r="F44" s="2" t="n">
        <v>5820</v>
      </c>
      <c r="G44" s="2" t="s">
        <v>20</v>
      </c>
      <c r="H44" s="2" t="n">
        <v>4</v>
      </c>
      <c r="I44" s="2" t="n">
        <v>2</v>
      </c>
      <c r="J44" s="2" t="n">
        <v>2</v>
      </c>
      <c r="K44" s="2" t="n">
        <v>4</v>
      </c>
      <c r="L44" s="2" t="n">
        <v>2</v>
      </c>
      <c r="M44" s="6" t="s">
        <v>20</v>
      </c>
      <c r="N44" s="2" t="n">
        <v>0</v>
      </c>
    </row>
    <row r="45" customFormat="false" ht="15" hidden="false" customHeight="false" outlineLevel="0" collapsed="false">
      <c r="A45" s="4" t="n">
        <v>1044</v>
      </c>
      <c r="B45" s="4" t="n">
        <v>48</v>
      </c>
      <c r="C45" s="4" t="s">
        <v>14</v>
      </c>
      <c r="D45" s="4" t="s">
        <v>18</v>
      </c>
      <c r="E45" s="4" t="s">
        <v>25</v>
      </c>
      <c r="F45" s="4" t="n">
        <v>7304</v>
      </c>
      <c r="G45" s="4" t="s">
        <v>20</v>
      </c>
      <c r="H45" s="4" t="n">
        <v>13</v>
      </c>
      <c r="I45" s="4" t="n">
        <v>0</v>
      </c>
      <c r="J45" s="4" t="n">
        <v>2</v>
      </c>
      <c r="K45" s="4" t="n">
        <v>4</v>
      </c>
      <c r="L45" s="4" t="n">
        <v>4</v>
      </c>
      <c r="M45" s="5" t="s">
        <v>20</v>
      </c>
      <c r="N45" s="4" t="n">
        <v>0</v>
      </c>
    </row>
    <row r="46" customFormat="false" ht="15" hidden="false" customHeight="false" outlineLevel="0" collapsed="false">
      <c r="A46" s="2" t="n">
        <v>1045</v>
      </c>
      <c r="B46" s="2" t="n">
        <v>58</v>
      </c>
      <c r="C46" s="2" t="s">
        <v>14</v>
      </c>
      <c r="D46" s="2" t="s">
        <v>15</v>
      </c>
      <c r="E46" s="2" t="s">
        <v>15</v>
      </c>
      <c r="F46" s="2" t="n">
        <v>2500</v>
      </c>
      <c r="G46" s="2" t="s">
        <v>20</v>
      </c>
      <c r="H46" s="2" t="n">
        <v>12</v>
      </c>
      <c r="I46" s="2" t="n">
        <v>6</v>
      </c>
      <c r="J46" s="2" t="n">
        <v>2</v>
      </c>
      <c r="K46" s="2" t="n">
        <v>4</v>
      </c>
      <c r="L46" s="2" t="n">
        <v>2</v>
      </c>
      <c r="M46" s="3" t="s">
        <v>16</v>
      </c>
      <c r="N46" s="2" t="n">
        <v>1</v>
      </c>
    </row>
    <row r="47" customFormat="false" ht="15" hidden="false" customHeight="false" outlineLevel="0" collapsed="false">
      <c r="A47" s="4" t="n">
        <v>1046</v>
      </c>
      <c r="B47" s="4" t="n">
        <v>46</v>
      </c>
      <c r="C47" s="4" t="s">
        <v>14</v>
      </c>
      <c r="D47" s="4" t="s">
        <v>22</v>
      </c>
      <c r="E47" s="4" t="s">
        <v>27</v>
      </c>
      <c r="F47" s="4" t="n">
        <v>7017</v>
      </c>
      <c r="G47" s="4" t="s">
        <v>20</v>
      </c>
      <c r="H47" s="4" t="n">
        <v>12</v>
      </c>
      <c r="I47" s="4" t="n">
        <v>11</v>
      </c>
      <c r="J47" s="4" t="n">
        <v>2</v>
      </c>
      <c r="K47" s="4" t="n">
        <v>4</v>
      </c>
      <c r="L47" s="4" t="n">
        <v>2</v>
      </c>
      <c r="M47" s="5" t="s">
        <v>20</v>
      </c>
      <c r="N47" s="4" t="n">
        <v>0</v>
      </c>
    </row>
    <row r="48" customFormat="false" ht="15" hidden="false" customHeight="false" outlineLevel="0" collapsed="false">
      <c r="A48" s="2" t="n">
        <v>1047</v>
      </c>
      <c r="B48" s="2" t="n">
        <v>47</v>
      </c>
      <c r="C48" s="2" t="s">
        <v>17</v>
      </c>
      <c r="D48" s="2" t="s">
        <v>15</v>
      </c>
      <c r="E48" s="2" t="s">
        <v>15</v>
      </c>
      <c r="F48" s="2" t="n">
        <v>6871</v>
      </c>
      <c r="G48" s="2" t="s">
        <v>20</v>
      </c>
      <c r="H48" s="2" t="n">
        <v>5</v>
      </c>
      <c r="I48" s="2" t="n">
        <v>0</v>
      </c>
      <c r="J48" s="2" t="n">
        <v>3</v>
      </c>
      <c r="K48" s="2" t="n">
        <v>4</v>
      </c>
      <c r="L48" s="2" t="n">
        <v>3</v>
      </c>
      <c r="M48" s="6" t="s">
        <v>20</v>
      </c>
      <c r="N48" s="2" t="n">
        <v>0</v>
      </c>
    </row>
    <row r="49" customFormat="false" ht="15" hidden="false" customHeight="false" outlineLevel="0" collapsed="false">
      <c r="A49" s="4" t="n">
        <v>1048</v>
      </c>
      <c r="B49" s="4" t="n">
        <v>46</v>
      </c>
      <c r="C49" s="4" t="s">
        <v>14</v>
      </c>
      <c r="D49" s="4" t="s">
        <v>22</v>
      </c>
      <c r="E49" s="4" t="s">
        <v>24</v>
      </c>
      <c r="F49" s="4" t="n">
        <v>7298</v>
      </c>
      <c r="G49" s="4" t="s">
        <v>20</v>
      </c>
      <c r="H49" s="4" t="n">
        <v>13</v>
      </c>
      <c r="I49" s="4" t="n">
        <v>4</v>
      </c>
      <c r="J49" s="4" t="n">
        <v>1</v>
      </c>
      <c r="K49" s="4" t="n">
        <v>4</v>
      </c>
      <c r="L49" s="4" t="n">
        <v>1</v>
      </c>
      <c r="M49" s="5" t="s">
        <v>20</v>
      </c>
      <c r="N49" s="4" t="n">
        <v>0</v>
      </c>
    </row>
    <row r="50" customFormat="false" ht="15" hidden="false" customHeight="false" outlineLevel="0" collapsed="false">
      <c r="A50" s="2" t="n">
        <v>1049</v>
      </c>
      <c r="B50" s="2" t="n">
        <v>36</v>
      </c>
      <c r="C50" s="2" t="s">
        <v>17</v>
      </c>
      <c r="D50" s="2" t="s">
        <v>18</v>
      </c>
      <c r="E50" s="2" t="s">
        <v>25</v>
      </c>
      <c r="F50" s="2" t="n">
        <v>6424</v>
      </c>
      <c r="G50" s="2" t="s">
        <v>20</v>
      </c>
      <c r="H50" s="2" t="n">
        <v>7</v>
      </c>
      <c r="I50" s="2" t="n">
        <v>3</v>
      </c>
      <c r="J50" s="2" t="n">
        <v>1</v>
      </c>
      <c r="K50" s="2" t="n">
        <v>2</v>
      </c>
      <c r="L50" s="2" t="n">
        <v>2</v>
      </c>
      <c r="M50" s="3" t="s">
        <v>16</v>
      </c>
      <c r="N50" s="2" t="n">
        <v>1</v>
      </c>
    </row>
    <row r="51" customFormat="false" ht="15" hidden="false" customHeight="false" outlineLevel="0" collapsed="false">
      <c r="A51" s="4" t="n">
        <v>1050</v>
      </c>
      <c r="B51" s="4" t="n">
        <v>58</v>
      </c>
      <c r="C51" s="4" t="s">
        <v>17</v>
      </c>
      <c r="D51" s="4" t="s">
        <v>15</v>
      </c>
      <c r="E51" s="4" t="s">
        <v>15</v>
      </c>
      <c r="F51" s="4" t="n">
        <v>3363</v>
      </c>
      <c r="G51" s="4" t="s">
        <v>20</v>
      </c>
      <c r="H51" s="4" t="n">
        <v>8</v>
      </c>
      <c r="I51" s="4" t="n">
        <v>8</v>
      </c>
      <c r="J51" s="4" t="n">
        <v>3</v>
      </c>
      <c r="K51" s="4" t="n">
        <v>2</v>
      </c>
      <c r="L51" s="4" t="n">
        <v>1</v>
      </c>
      <c r="M51" s="5" t="s">
        <v>20</v>
      </c>
      <c r="N51" s="4" t="n">
        <v>0</v>
      </c>
    </row>
    <row r="52" customFormat="false" ht="15" hidden="false" customHeight="false" outlineLevel="0" collapsed="false">
      <c r="A52" s="2" t="n">
        <v>1051</v>
      </c>
      <c r="B52" s="2" t="n">
        <v>28</v>
      </c>
      <c r="C52" s="2" t="s">
        <v>17</v>
      </c>
      <c r="D52" s="2" t="s">
        <v>18</v>
      </c>
      <c r="E52" s="2" t="s">
        <v>25</v>
      </c>
      <c r="F52" s="2" t="n">
        <v>7771</v>
      </c>
      <c r="G52" s="2" t="s">
        <v>20</v>
      </c>
      <c r="H52" s="2" t="n">
        <v>12</v>
      </c>
      <c r="I52" s="2" t="n">
        <v>6</v>
      </c>
      <c r="J52" s="2" t="n">
        <v>2</v>
      </c>
      <c r="K52" s="2" t="n">
        <v>1</v>
      </c>
      <c r="L52" s="2" t="n">
        <v>2</v>
      </c>
      <c r="M52" s="3" t="s">
        <v>16</v>
      </c>
      <c r="N52" s="2" t="n">
        <v>1</v>
      </c>
    </row>
    <row r="53" customFormat="false" ht="15" hidden="false" customHeight="false" outlineLevel="0" collapsed="false">
      <c r="A53" s="4" t="n">
        <v>1052</v>
      </c>
      <c r="B53" s="4" t="n">
        <v>58</v>
      </c>
      <c r="C53" s="4" t="s">
        <v>17</v>
      </c>
      <c r="D53" s="4" t="s">
        <v>22</v>
      </c>
      <c r="E53" s="4" t="s">
        <v>27</v>
      </c>
      <c r="F53" s="4" t="n">
        <v>5651</v>
      </c>
      <c r="G53" s="4" t="s">
        <v>20</v>
      </c>
      <c r="H53" s="4" t="n">
        <v>13</v>
      </c>
      <c r="I53" s="4" t="n">
        <v>10</v>
      </c>
      <c r="J53" s="4" t="n">
        <v>3</v>
      </c>
      <c r="K53" s="4" t="n">
        <v>1</v>
      </c>
      <c r="L53" s="4" t="n">
        <v>3</v>
      </c>
      <c r="M53" s="7" t="s">
        <v>16</v>
      </c>
      <c r="N53" s="4" t="n">
        <v>1</v>
      </c>
    </row>
    <row r="54" customFormat="false" ht="15" hidden="false" customHeight="false" outlineLevel="0" collapsed="false">
      <c r="A54" s="2" t="n">
        <v>1053</v>
      </c>
      <c r="B54" s="2" t="n">
        <v>28</v>
      </c>
      <c r="C54" s="2" t="s">
        <v>14</v>
      </c>
      <c r="D54" s="2" t="s">
        <v>22</v>
      </c>
      <c r="E54" s="2" t="s">
        <v>23</v>
      </c>
      <c r="F54" s="2" t="n">
        <v>8566</v>
      </c>
      <c r="G54" s="2" t="s">
        <v>20</v>
      </c>
      <c r="H54" s="2" t="n">
        <v>4</v>
      </c>
      <c r="I54" s="2" t="n">
        <v>4</v>
      </c>
      <c r="J54" s="2" t="n">
        <v>2</v>
      </c>
      <c r="K54" s="2" t="n">
        <v>3</v>
      </c>
      <c r="L54" s="2" t="n">
        <v>4</v>
      </c>
      <c r="M54" s="6" t="s">
        <v>20</v>
      </c>
      <c r="N54" s="2" t="n">
        <v>0</v>
      </c>
    </row>
    <row r="55" customFormat="false" ht="15" hidden="false" customHeight="false" outlineLevel="0" collapsed="false">
      <c r="A55" s="4" t="n">
        <v>1054</v>
      </c>
      <c r="B55" s="4" t="n">
        <v>42</v>
      </c>
      <c r="C55" s="4" t="s">
        <v>17</v>
      </c>
      <c r="D55" s="4" t="s">
        <v>15</v>
      </c>
      <c r="E55" s="4" t="s">
        <v>19</v>
      </c>
      <c r="F55" s="4" t="n">
        <v>4980</v>
      </c>
      <c r="G55" s="4" t="s">
        <v>20</v>
      </c>
      <c r="H55" s="4" t="n">
        <v>2</v>
      </c>
      <c r="I55" s="4" t="n">
        <v>2</v>
      </c>
      <c r="J55" s="4" t="n">
        <v>4</v>
      </c>
      <c r="K55" s="4" t="n">
        <v>2</v>
      </c>
      <c r="L55" s="4" t="n">
        <v>4</v>
      </c>
      <c r="M55" s="5" t="s">
        <v>20</v>
      </c>
      <c r="N55" s="4" t="n">
        <v>0</v>
      </c>
    </row>
    <row r="56" customFormat="false" ht="15" hidden="false" customHeight="false" outlineLevel="0" collapsed="false">
      <c r="A56" s="2" t="n">
        <v>1055</v>
      </c>
      <c r="B56" s="2" t="n">
        <v>43</v>
      </c>
      <c r="C56" s="2" t="s">
        <v>17</v>
      </c>
      <c r="D56" s="2" t="s">
        <v>15</v>
      </c>
      <c r="E56" s="2" t="s">
        <v>19</v>
      </c>
      <c r="F56" s="2" t="n">
        <v>4170</v>
      </c>
      <c r="G56" s="2" t="s">
        <v>20</v>
      </c>
      <c r="H56" s="2" t="n">
        <v>11</v>
      </c>
      <c r="I56" s="2" t="n">
        <v>11</v>
      </c>
      <c r="J56" s="2" t="n">
        <v>3</v>
      </c>
      <c r="K56" s="2" t="n">
        <v>3</v>
      </c>
      <c r="L56" s="2" t="n">
        <v>3</v>
      </c>
      <c r="M56" s="6" t="s">
        <v>20</v>
      </c>
      <c r="N56" s="2" t="n">
        <v>0</v>
      </c>
    </row>
    <row r="57" customFormat="false" ht="15" hidden="false" customHeight="false" outlineLevel="0" collapsed="false">
      <c r="A57" s="4" t="n">
        <v>1056</v>
      </c>
      <c r="B57" s="4" t="n">
        <v>57</v>
      </c>
      <c r="C57" s="4" t="s">
        <v>17</v>
      </c>
      <c r="D57" s="4" t="s">
        <v>15</v>
      </c>
      <c r="E57" s="4" t="s">
        <v>19</v>
      </c>
      <c r="F57" s="4" t="n">
        <v>5547</v>
      </c>
      <c r="G57" s="4" t="s">
        <v>20</v>
      </c>
      <c r="H57" s="4" t="n">
        <v>6</v>
      </c>
      <c r="I57" s="4" t="n">
        <v>1</v>
      </c>
      <c r="J57" s="4" t="n">
        <v>2</v>
      </c>
      <c r="K57" s="4" t="n">
        <v>4</v>
      </c>
      <c r="L57" s="4" t="n">
        <v>4</v>
      </c>
      <c r="M57" s="5" t="s">
        <v>20</v>
      </c>
      <c r="N57" s="4" t="n">
        <v>0</v>
      </c>
    </row>
    <row r="58" customFormat="false" ht="15" hidden="false" customHeight="false" outlineLevel="0" collapsed="false">
      <c r="A58" s="2" t="n">
        <v>1057</v>
      </c>
      <c r="B58" s="2" t="n">
        <v>52</v>
      </c>
      <c r="C58" s="2" t="s">
        <v>14</v>
      </c>
      <c r="D58" s="2" t="s">
        <v>18</v>
      </c>
      <c r="E58" s="2" t="s">
        <v>19</v>
      </c>
      <c r="F58" s="2" t="n">
        <v>5734</v>
      </c>
      <c r="G58" s="2" t="s">
        <v>20</v>
      </c>
      <c r="H58" s="2" t="n">
        <v>12</v>
      </c>
      <c r="I58" s="2" t="n">
        <v>11</v>
      </c>
      <c r="J58" s="2" t="n">
        <v>2</v>
      </c>
      <c r="K58" s="2" t="n">
        <v>3</v>
      </c>
      <c r="L58" s="2" t="n">
        <v>3</v>
      </c>
      <c r="M58" s="6" t="s">
        <v>20</v>
      </c>
      <c r="N58" s="2" t="n">
        <v>0</v>
      </c>
    </row>
    <row r="59" customFormat="false" ht="15" hidden="false" customHeight="false" outlineLevel="0" collapsed="false">
      <c r="A59" s="4" t="n">
        <v>1058</v>
      </c>
      <c r="B59" s="4" t="n">
        <v>49</v>
      </c>
      <c r="C59" s="4" t="s">
        <v>14</v>
      </c>
      <c r="D59" s="4" t="s">
        <v>15</v>
      </c>
      <c r="E59" s="4" t="s">
        <v>19</v>
      </c>
      <c r="F59" s="4" t="n">
        <v>5589</v>
      </c>
      <c r="G59" s="4" t="s">
        <v>20</v>
      </c>
      <c r="H59" s="4" t="n">
        <v>14</v>
      </c>
      <c r="I59" s="4" t="n">
        <v>4</v>
      </c>
      <c r="J59" s="4" t="n">
        <v>3</v>
      </c>
      <c r="K59" s="4" t="n">
        <v>3</v>
      </c>
      <c r="L59" s="4" t="n">
        <v>2</v>
      </c>
      <c r="M59" s="7" t="s">
        <v>16</v>
      </c>
      <c r="N59" s="4" t="n">
        <v>1</v>
      </c>
    </row>
    <row r="60" customFormat="false" ht="15" hidden="false" customHeight="false" outlineLevel="0" collapsed="false">
      <c r="A60" s="2" t="n">
        <v>1059</v>
      </c>
      <c r="B60" s="2" t="n">
        <v>29</v>
      </c>
      <c r="C60" s="2" t="s">
        <v>17</v>
      </c>
      <c r="D60" s="2" t="s">
        <v>18</v>
      </c>
      <c r="E60" s="2" t="s">
        <v>25</v>
      </c>
      <c r="F60" s="2" t="n">
        <v>6882</v>
      </c>
      <c r="G60" s="2" t="s">
        <v>16</v>
      </c>
      <c r="H60" s="2" t="n">
        <v>18</v>
      </c>
      <c r="I60" s="2" t="n">
        <v>12</v>
      </c>
      <c r="J60" s="2" t="n">
        <v>3</v>
      </c>
      <c r="K60" s="2" t="n">
        <v>1</v>
      </c>
      <c r="L60" s="2" t="n">
        <v>2</v>
      </c>
      <c r="M60" s="3" t="s">
        <v>16</v>
      </c>
      <c r="N60" s="2" t="n">
        <v>1</v>
      </c>
    </row>
    <row r="61" customFormat="false" ht="15" hidden="false" customHeight="false" outlineLevel="0" collapsed="false">
      <c r="A61" s="4" t="n">
        <v>1060</v>
      </c>
      <c r="B61" s="4" t="n">
        <v>41</v>
      </c>
      <c r="C61" s="4" t="s">
        <v>17</v>
      </c>
      <c r="D61" s="4" t="s">
        <v>22</v>
      </c>
      <c r="E61" s="4" t="s">
        <v>26</v>
      </c>
      <c r="F61" s="4" t="n">
        <v>8793</v>
      </c>
      <c r="G61" s="4" t="s">
        <v>20</v>
      </c>
      <c r="H61" s="4" t="n">
        <v>4</v>
      </c>
      <c r="I61" s="4" t="n">
        <v>4</v>
      </c>
      <c r="J61" s="4" t="n">
        <v>1</v>
      </c>
      <c r="K61" s="4" t="n">
        <v>1</v>
      </c>
      <c r="L61" s="4" t="n">
        <v>3</v>
      </c>
      <c r="M61" s="5" t="s">
        <v>20</v>
      </c>
      <c r="N61" s="4" t="n">
        <v>0</v>
      </c>
    </row>
    <row r="62" customFormat="false" ht="15" hidden="false" customHeight="false" outlineLevel="0" collapsed="false">
      <c r="A62" s="2" t="n">
        <v>1061</v>
      </c>
      <c r="B62" s="2" t="n">
        <v>53</v>
      </c>
      <c r="C62" s="2" t="s">
        <v>17</v>
      </c>
      <c r="D62" s="2" t="s">
        <v>18</v>
      </c>
      <c r="E62" s="2" t="s">
        <v>19</v>
      </c>
      <c r="F62" s="2" t="n">
        <v>7365</v>
      </c>
      <c r="G62" s="2" t="s">
        <v>20</v>
      </c>
      <c r="H62" s="2" t="n">
        <v>14</v>
      </c>
      <c r="I62" s="2" t="n">
        <v>5</v>
      </c>
      <c r="J62" s="2" t="n">
        <v>2</v>
      </c>
      <c r="K62" s="2" t="n">
        <v>1</v>
      </c>
      <c r="L62" s="2" t="n">
        <v>3</v>
      </c>
      <c r="M62" s="6" t="s">
        <v>20</v>
      </c>
      <c r="N62" s="2" t="n">
        <v>0</v>
      </c>
    </row>
    <row r="63" customFormat="false" ht="15" hidden="false" customHeight="false" outlineLevel="0" collapsed="false">
      <c r="A63" s="4" t="n">
        <v>1062</v>
      </c>
      <c r="B63" s="4" t="n">
        <v>26</v>
      </c>
      <c r="C63" s="4" t="s">
        <v>14</v>
      </c>
      <c r="D63" s="4" t="s">
        <v>22</v>
      </c>
      <c r="E63" s="4" t="s">
        <v>27</v>
      </c>
      <c r="F63" s="4" t="n">
        <v>5094</v>
      </c>
      <c r="G63" s="4" t="s">
        <v>20</v>
      </c>
      <c r="H63" s="4" t="n">
        <v>18</v>
      </c>
      <c r="I63" s="4" t="n">
        <v>10</v>
      </c>
      <c r="J63" s="4" t="n">
        <v>1</v>
      </c>
      <c r="K63" s="4" t="n">
        <v>2</v>
      </c>
      <c r="L63" s="4" t="n">
        <v>2</v>
      </c>
      <c r="M63" s="5" t="s">
        <v>20</v>
      </c>
      <c r="N63" s="4" t="n">
        <v>0</v>
      </c>
    </row>
    <row r="64" customFormat="false" ht="15" hidden="false" customHeight="false" outlineLevel="0" collapsed="false">
      <c r="A64" s="2" t="n">
        <v>1063</v>
      </c>
      <c r="B64" s="2" t="n">
        <v>37</v>
      </c>
      <c r="C64" s="2" t="s">
        <v>17</v>
      </c>
      <c r="D64" s="2" t="s">
        <v>22</v>
      </c>
      <c r="E64" s="2" t="s">
        <v>27</v>
      </c>
      <c r="F64" s="2" t="n">
        <v>5046</v>
      </c>
      <c r="G64" s="2" t="s">
        <v>20</v>
      </c>
      <c r="H64" s="2" t="n">
        <v>19</v>
      </c>
      <c r="I64" s="2" t="n">
        <v>3</v>
      </c>
      <c r="J64" s="2" t="n">
        <v>4</v>
      </c>
      <c r="K64" s="2" t="n">
        <v>4</v>
      </c>
      <c r="L64" s="2" t="n">
        <v>4</v>
      </c>
      <c r="M64" s="6" t="s">
        <v>20</v>
      </c>
      <c r="N64" s="2" t="n">
        <v>0</v>
      </c>
    </row>
    <row r="65" customFormat="false" ht="15" hidden="false" customHeight="false" outlineLevel="0" collapsed="false">
      <c r="A65" s="4" t="n">
        <v>1064</v>
      </c>
      <c r="B65" s="4" t="n">
        <v>41</v>
      </c>
      <c r="C65" s="4" t="s">
        <v>17</v>
      </c>
      <c r="D65" s="4" t="s">
        <v>15</v>
      </c>
      <c r="E65" s="4" t="s">
        <v>19</v>
      </c>
      <c r="F65" s="4" t="n">
        <v>4944</v>
      </c>
      <c r="G65" s="4" t="s">
        <v>20</v>
      </c>
      <c r="H65" s="4" t="n">
        <v>3</v>
      </c>
      <c r="I65" s="4" t="n">
        <v>3</v>
      </c>
      <c r="J65" s="4" t="n">
        <v>2</v>
      </c>
      <c r="K65" s="4" t="n">
        <v>2</v>
      </c>
      <c r="L65" s="4" t="n">
        <v>3</v>
      </c>
      <c r="M65" s="5" t="s">
        <v>20</v>
      </c>
      <c r="N65" s="4" t="n">
        <v>0</v>
      </c>
    </row>
    <row r="66" customFormat="false" ht="15" hidden="false" customHeight="false" outlineLevel="0" collapsed="false">
      <c r="A66" s="2" t="n">
        <v>1065</v>
      </c>
      <c r="B66" s="2" t="n">
        <v>33</v>
      </c>
      <c r="C66" s="2" t="s">
        <v>17</v>
      </c>
      <c r="D66" s="2" t="s">
        <v>18</v>
      </c>
      <c r="E66" s="2" t="s">
        <v>21</v>
      </c>
      <c r="F66" s="2" t="n">
        <v>6851</v>
      </c>
      <c r="G66" s="2" t="s">
        <v>20</v>
      </c>
      <c r="H66" s="2" t="n">
        <v>15</v>
      </c>
      <c r="I66" s="2" t="n">
        <v>4</v>
      </c>
      <c r="J66" s="2" t="n">
        <v>1</v>
      </c>
      <c r="K66" s="2" t="n">
        <v>2</v>
      </c>
      <c r="L66" s="2" t="n">
        <v>3</v>
      </c>
      <c r="M66" s="6" t="s">
        <v>20</v>
      </c>
      <c r="N66" s="2" t="n">
        <v>0</v>
      </c>
    </row>
    <row r="67" customFormat="false" ht="15" hidden="false" customHeight="false" outlineLevel="0" collapsed="false">
      <c r="A67" s="4" t="n">
        <v>1066</v>
      </c>
      <c r="B67" s="4" t="n">
        <v>26</v>
      </c>
      <c r="C67" s="4" t="s">
        <v>17</v>
      </c>
      <c r="D67" s="4" t="s">
        <v>15</v>
      </c>
      <c r="E67" s="4" t="s">
        <v>19</v>
      </c>
      <c r="F67" s="4" t="n">
        <v>6779</v>
      </c>
      <c r="G67" s="4" t="s">
        <v>20</v>
      </c>
      <c r="H67" s="4" t="n">
        <v>20</v>
      </c>
      <c r="I67" s="4" t="n">
        <v>9</v>
      </c>
      <c r="J67" s="4" t="n">
        <v>2</v>
      </c>
      <c r="K67" s="4" t="n">
        <v>4</v>
      </c>
      <c r="L67" s="4" t="n">
        <v>1</v>
      </c>
      <c r="M67" s="5" t="s">
        <v>20</v>
      </c>
      <c r="N67" s="4" t="n">
        <v>0</v>
      </c>
    </row>
    <row r="68" customFormat="false" ht="15" hidden="false" customHeight="false" outlineLevel="0" collapsed="false">
      <c r="A68" s="2" t="n">
        <v>1067</v>
      </c>
      <c r="B68" s="2" t="n">
        <v>39</v>
      </c>
      <c r="C68" s="2" t="s">
        <v>17</v>
      </c>
      <c r="D68" s="2" t="s">
        <v>15</v>
      </c>
      <c r="E68" s="2" t="s">
        <v>15</v>
      </c>
      <c r="F68" s="2" t="n">
        <v>6314</v>
      </c>
      <c r="G68" s="2" t="s">
        <v>20</v>
      </c>
      <c r="H68" s="2" t="n">
        <v>18</v>
      </c>
      <c r="I68" s="2" t="n">
        <v>4</v>
      </c>
      <c r="J68" s="2" t="n">
        <v>4</v>
      </c>
      <c r="K68" s="2" t="n">
        <v>1</v>
      </c>
      <c r="L68" s="2" t="n">
        <v>4</v>
      </c>
      <c r="M68" s="6" t="s">
        <v>20</v>
      </c>
      <c r="N68" s="2" t="n">
        <v>0</v>
      </c>
    </row>
    <row r="69" customFormat="false" ht="15" hidden="false" customHeight="false" outlineLevel="0" collapsed="false">
      <c r="A69" s="4" t="n">
        <v>1068</v>
      </c>
      <c r="B69" s="4" t="n">
        <v>39</v>
      </c>
      <c r="C69" s="4" t="s">
        <v>14</v>
      </c>
      <c r="D69" s="4" t="s">
        <v>15</v>
      </c>
      <c r="E69" s="4" t="s">
        <v>19</v>
      </c>
      <c r="F69" s="4" t="n">
        <v>5891</v>
      </c>
      <c r="G69" s="4" t="s">
        <v>20</v>
      </c>
      <c r="H69" s="4" t="n">
        <v>19</v>
      </c>
      <c r="I69" s="4" t="n">
        <v>0</v>
      </c>
      <c r="J69" s="4" t="n">
        <v>4</v>
      </c>
      <c r="K69" s="4" t="n">
        <v>3</v>
      </c>
      <c r="L69" s="4" t="n">
        <v>3</v>
      </c>
      <c r="M69" s="7" t="s">
        <v>16</v>
      </c>
      <c r="N69" s="4" t="n">
        <v>1</v>
      </c>
    </row>
    <row r="70" customFormat="false" ht="15" hidden="false" customHeight="false" outlineLevel="0" collapsed="false">
      <c r="A70" s="2" t="n">
        <v>1069</v>
      </c>
      <c r="B70" s="2" t="n">
        <v>58</v>
      </c>
      <c r="C70" s="2" t="s">
        <v>17</v>
      </c>
      <c r="D70" s="2" t="s">
        <v>18</v>
      </c>
      <c r="E70" s="2" t="s">
        <v>19</v>
      </c>
      <c r="F70" s="2" t="n">
        <v>8240</v>
      </c>
      <c r="G70" s="2" t="s">
        <v>16</v>
      </c>
      <c r="H70" s="2" t="n">
        <v>1</v>
      </c>
      <c r="I70" s="2" t="n">
        <v>1</v>
      </c>
      <c r="J70" s="2" t="n">
        <v>2</v>
      </c>
      <c r="K70" s="2" t="n">
        <v>4</v>
      </c>
      <c r="L70" s="2" t="n">
        <v>4</v>
      </c>
      <c r="M70" s="6" t="s">
        <v>20</v>
      </c>
      <c r="N70" s="2" t="n">
        <v>0</v>
      </c>
    </row>
    <row r="71" customFormat="false" ht="15" hidden="false" customHeight="false" outlineLevel="0" collapsed="false">
      <c r="A71" s="4" t="n">
        <v>1070</v>
      </c>
      <c r="B71" s="4" t="n">
        <v>49</v>
      </c>
      <c r="C71" s="4" t="s">
        <v>14</v>
      </c>
      <c r="D71" s="4" t="s">
        <v>18</v>
      </c>
      <c r="E71" s="4" t="s">
        <v>19</v>
      </c>
      <c r="F71" s="4" t="n">
        <v>5993</v>
      </c>
      <c r="G71" s="4" t="s">
        <v>20</v>
      </c>
      <c r="H71" s="4" t="n">
        <v>15</v>
      </c>
      <c r="I71" s="4" t="n">
        <v>5</v>
      </c>
      <c r="J71" s="4" t="n">
        <v>4</v>
      </c>
      <c r="K71" s="4" t="n">
        <v>3</v>
      </c>
      <c r="L71" s="4" t="n">
        <v>3</v>
      </c>
      <c r="M71" s="5" t="s">
        <v>20</v>
      </c>
      <c r="N71" s="4" t="n">
        <v>0</v>
      </c>
    </row>
  </sheetData>
  <conditionalFormatting sqref="N2:N71">
    <cfRule type="dataBar" priority="2">
      <dataBar showValue="1" minLength="10" maxLength="90">
        <cfvo type="num" val="0"/>
        <cfvo type="num" val="1"/>
        <color rgb="FFC0392B"/>
      </dataBar>
      <extLst>
        <ext xmlns:x14="http://schemas.microsoft.com/office/spreadsheetml/2009/9/main" uri="{B025F937-C7B1-47D3-B67F-A62EFF666E3E}">
          <x14:id>{D1F5C4F7-E458-44BF-A410-C9C0FC6E90F2}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1F5C4F7-E458-44BF-A410-C9C0FC6E90F2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C0392B"/>
              <x14:axisColor rgb="FF000000"/>
            </x14:dataBar>
          </x14:cfRule>
          <xm:sqref>N2:N71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4"/>
  </cols>
  <sheetData>
    <row r="1" customFormat="false" ht="15" hidden="false" customHeight="true" outlineLevel="0" collapsed="false">
      <c r="A1" s="8" t="s">
        <v>28</v>
      </c>
      <c r="B1" s="8"/>
    </row>
    <row r="2" customFormat="false" ht="15" hidden="false" customHeight="false" outlineLevel="0" collapsed="false">
      <c r="A2" s="9" t="s">
        <v>29</v>
      </c>
      <c r="B2" s="10" t="n">
        <f aca="false">COUNTA(Dati_Grezzi!A2:A71)</f>
        <v>70</v>
      </c>
    </row>
    <row r="3" customFormat="false" ht="15" hidden="false" customHeight="false" outlineLevel="0" collapsed="false">
      <c r="A3" s="9" t="s">
        <v>30</v>
      </c>
      <c r="B3" s="10" t="n">
        <f aca="false">COUNTIF(Dati_Grezzi!M2:M71,"Yes")</f>
        <v>16</v>
      </c>
    </row>
    <row r="4" customFormat="false" ht="15" hidden="false" customHeight="false" outlineLevel="0" collapsed="false">
      <c r="A4" s="9" t="s">
        <v>31</v>
      </c>
      <c r="B4" s="11" t="n">
        <f aca="false">COUNTIF(Dati_Grezzi!M2:M71,"Yes")/COUNTA(Dati_Grezzi!M2:M71)</f>
        <v>0.228571428571429</v>
      </c>
    </row>
    <row r="5" customFormat="false" ht="15" hidden="false" customHeight="false" outlineLevel="0" collapsed="false">
      <c r="A5" s="9" t="s">
        <v>32</v>
      </c>
      <c r="B5" s="10" t="n">
        <f aca="false">AVERAGE(Dati_Grezzi!B2:B71)</f>
        <v>40.2</v>
      </c>
    </row>
    <row r="6" customFormat="false" ht="15" hidden="false" customHeight="false" outlineLevel="0" collapsed="false">
      <c r="A6" s="9" t="s">
        <v>33</v>
      </c>
      <c r="B6" s="10" t="n">
        <f aca="false">AVERAGE(Dati_Grezzi!F2:F71)</f>
        <v>6018.85714285714</v>
      </c>
    </row>
    <row r="7" customFormat="false" ht="15" hidden="false" customHeight="false" outlineLevel="0" collapsed="false">
      <c r="A7" s="9" t="s">
        <v>34</v>
      </c>
      <c r="B7" s="11" t="n">
        <f aca="false">COUNTIF(Dati_Grezzi!G2:G71,"Yes")/COUNTA(Dati_Grezzi!G2:G71)</f>
        <v>0.185714285714286</v>
      </c>
    </row>
    <row r="8" customFormat="false" ht="15" hidden="false" customHeight="false" outlineLevel="0" collapsed="false">
      <c r="A8" s="9" t="s">
        <v>35</v>
      </c>
      <c r="B8" s="10" t="n">
        <f aca="false">AVERAGE(Dati_Grezzi!H2:H71)</f>
        <v>10.3285714285714</v>
      </c>
    </row>
    <row r="9" customFormat="false" ht="15" hidden="false" customHeight="false" outlineLevel="0" collapsed="false">
      <c r="A9" s="9" t="s">
        <v>36</v>
      </c>
      <c r="B9" s="10" t="n">
        <f aca="false">AVERAGE(Dati_Grezzi!J2:J71)</f>
        <v>2.4</v>
      </c>
    </row>
    <row r="11" customFormat="false" ht="15" hidden="false" customHeight="true" outlineLevel="0" collapsed="false">
      <c r="A11" s="8" t="s">
        <v>37</v>
      </c>
      <c r="B11" s="8"/>
      <c r="C11" s="8"/>
      <c r="D11" s="8"/>
    </row>
    <row r="12" customFormat="false" ht="15" hidden="false" customHeight="false" outlineLevel="0" collapsed="false">
      <c r="A12" s="12" t="s">
        <v>38</v>
      </c>
      <c r="B12" s="12" t="s">
        <v>39</v>
      </c>
      <c r="C12" s="12" t="s">
        <v>40</v>
      </c>
      <c r="D12" s="12" t="s">
        <v>41</v>
      </c>
    </row>
    <row r="13" customFormat="false" ht="15" hidden="false" customHeight="false" outlineLevel="0" collapsed="false">
      <c r="A13" s="9" t="s">
        <v>18</v>
      </c>
      <c r="B13" s="13" t="n">
        <f aca="false">COUNTIF(Dati_Grezzi!D2:D71,A13)</f>
        <v>26</v>
      </c>
      <c r="C13" s="13" t="n">
        <f aca="false">COUNTIFS(Dati_Grezzi!D2:D71,A13,Dati_Grezzi!M2:M71,"Yes")</f>
        <v>4</v>
      </c>
      <c r="D13" s="14" t="n">
        <f aca="false">IF(B13=0,0,C13/B13)</f>
        <v>0.153846153846154</v>
      </c>
    </row>
    <row r="14" customFormat="false" ht="15" hidden="false" customHeight="false" outlineLevel="0" collapsed="false">
      <c r="A14" s="15" t="s">
        <v>22</v>
      </c>
      <c r="B14" s="13" t="n">
        <f aca="false">COUNTIF(Dati_Grezzi!D2:D71,A14)</f>
        <v>16</v>
      </c>
      <c r="C14" s="13" t="n">
        <f aca="false">COUNTIFS(Dati_Grezzi!D2:D71,A14,Dati_Grezzi!M2:M71,"Yes")</f>
        <v>2</v>
      </c>
      <c r="D14" s="14" t="n">
        <f aca="false">IF(B14=0,0,C14/B14)</f>
        <v>0.125</v>
      </c>
    </row>
    <row r="15" customFormat="false" ht="15" hidden="false" customHeight="false" outlineLevel="0" collapsed="false">
      <c r="A15" s="9" t="s">
        <v>15</v>
      </c>
      <c r="B15" s="13" t="n">
        <f aca="false">COUNTIF(Dati_Grezzi!D2:D71,A15)</f>
        <v>28</v>
      </c>
      <c r="C15" s="13" t="n">
        <f aca="false">COUNTIFS(Dati_Grezzi!D2:D71,A15,Dati_Grezzi!M2:M71,"Yes")</f>
        <v>10</v>
      </c>
      <c r="D15" s="14" t="n">
        <f aca="false">IF(B15=0,0,C15/B15)</f>
        <v>0.357142857142857</v>
      </c>
    </row>
    <row r="17" customFormat="false" ht="15" hidden="false" customHeight="true" outlineLevel="0" collapsed="false">
      <c r="A17" s="8" t="s">
        <v>42</v>
      </c>
      <c r="B17" s="8"/>
      <c r="C17" s="8"/>
      <c r="D17" s="8"/>
    </row>
    <row r="18" customFormat="false" ht="15" hidden="false" customHeight="false" outlineLevel="0" collapsed="false">
      <c r="A18" s="12" t="s">
        <v>43</v>
      </c>
      <c r="B18" s="12" t="s">
        <v>39</v>
      </c>
      <c r="C18" s="12" t="s">
        <v>40</v>
      </c>
      <c r="D18" s="12" t="s">
        <v>41</v>
      </c>
    </row>
    <row r="19" customFormat="false" ht="15" hidden="false" customHeight="false" outlineLevel="0" collapsed="false">
      <c r="A19" s="9" t="s">
        <v>17</v>
      </c>
      <c r="B19" s="13" t="n">
        <f aca="false">COUNTIF(Dati_Grezzi!C2:C71,A19)</f>
        <v>43</v>
      </c>
      <c r="C19" s="13" t="n">
        <f aca="false">COUNTIFS(Dati_Grezzi!C2:C71,A19,Dati_Grezzi!M2:M71,"Yes")</f>
        <v>10</v>
      </c>
      <c r="D19" s="14" t="n">
        <f aca="false">IF(B19=0,0,C19/B19)</f>
        <v>0.232558139534884</v>
      </c>
    </row>
    <row r="20" customFormat="false" ht="15" hidden="false" customHeight="false" outlineLevel="0" collapsed="false">
      <c r="A20" s="15" t="s">
        <v>14</v>
      </c>
      <c r="B20" s="13" t="n">
        <f aca="false">COUNTIF(Dati_Grezzi!C2:C71,A20)</f>
        <v>27</v>
      </c>
      <c r="C20" s="13" t="n">
        <f aca="false">COUNTIFS(Dati_Grezzi!C2:C71,A20,Dati_Grezzi!M2:M71,"Yes")</f>
        <v>6</v>
      </c>
      <c r="D20" s="14" t="n">
        <f aca="false">IF(B20=0,0,C20/B20)</f>
        <v>0.222222222222222</v>
      </c>
    </row>
    <row r="22" customFormat="false" ht="15" hidden="false" customHeight="true" outlineLevel="0" collapsed="false">
      <c r="A22" s="8" t="s">
        <v>44</v>
      </c>
      <c r="B22" s="8"/>
    </row>
    <row r="23" customFormat="false" ht="15" hidden="false" customHeight="false" outlineLevel="0" collapsed="false">
      <c r="A23" s="12" t="s">
        <v>45</v>
      </c>
      <c r="B23" s="12" t="s">
        <v>41</v>
      </c>
    </row>
    <row r="24" customFormat="false" ht="15" hidden="false" customHeight="false" outlineLevel="0" collapsed="false">
      <c r="A24" s="16" t="s">
        <v>46</v>
      </c>
      <c r="B24" s="17" t="n">
        <v>0.124</v>
      </c>
    </row>
    <row r="25" customFormat="false" ht="15" hidden="false" customHeight="false" outlineLevel="0" collapsed="false">
      <c r="A25" s="18" t="s">
        <v>47</v>
      </c>
      <c r="B25" s="19" t="n">
        <v>0.131</v>
      </c>
    </row>
    <row r="26" customFormat="false" ht="15" hidden="false" customHeight="false" outlineLevel="0" collapsed="false">
      <c r="A26" s="16" t="s">
        <v>48</v>
      </c>
      <c r="B26" s="17" t="n">
        <v>0.138</v>
      </c>
    </row>
    <row r="27" customFormat="false" ht="15" hidden="false" customHeight="false" outlineLevel="0" collapsed="false">
      <c r="A27" s="18" t="s">
        <v>49</v>
      </c>
      <c r="B27" s="19" t="n">
        <v>0.142</v>
      </c>
    </row>
    <row r="28" customFormat="false" ht="15" hidden="false" customHeight="false" outlineLevel="0" collapsed="false">
      <c r="A28" s="16" t="s">
        <v>50</v>
      </c>
      <c r="B28" s="17" t="n">
        <v>0.149</v>
      </c>
    </row>
    <row r="29" customFormat="false" ht="15" hidden="false" customHeight="false" outlineLevel="0" collapsed="false">
      <c r="A29" s="18" t="s">
        <v>51</v>
      </c>
      <c r="B29" s="19" t="n">
        <v>0.155</v>
      </c>
    </row>
    <row r="30" customFormat="false" ht="15" hidden="false" customHeight="false" outlineLevel="0" collapsed="false">
      <c r="A30" s="16" t="s">
        <v>52</v>
      </c>
      <c r="B30" s="17" t="n">
        <v>0.152</v>
      </c>
    </row>
    <row r="31" customFormat="false" ht="15" hidden="false" customHeight="false" outlineLevel="0" collapsed="false">
      <c r="A31" s="18" t="s">
        <v>53</v>
      </c>
      <c r="B31" s="19" t="n">
        <v>0.158</v>
      </c>
    </row>
    <row r="32" customFormat="false" ht="15" hidden="false" customHeight="false" outlineLevel="0" collapsed="false">
      <c r="A32" s="16" t="s">
        <v>54</v>
      </c>
      <c r="B32" s="17" t="n">
        <v>0.161</v>
      </c>
    </row>
    <row r="33" customFormat="false" ht="15" hidden="false" customHeight="false" outlineLevel="0" collapsed="false">
      <c r="A33" s="18" t="s">
        <v>55</v>
      </c>
      <c r="B33" s="19" t="n">
        <v>0.163</v>
      </c>
    </row>
    <row r="34" customFormat="false" ht="15" hidden="false" customHeight="false" outlineLevel="0" collapsed="false">
      <c r="A34" s="16" t="s">
        <v>56</v>
      </c>
      <c r="B34" s="17" t="n">
        <v>0.159</v>
      </c>
    </row>
    <row r="35" customFormat="false" ht="15" hidden="false" customHeight="false" outlineLevel="0" collapsed="false">
      <c r="A35" s="18" t="s">
        <v>57</v>
      </c>
      <c r="B35" s="19" t="n">
        <v>0.161</v>
      </c>
    </row>
  </sheetData>
  <mergeCells count="4">
    <mergeCell ref="A1:B1"/>
    <mergeCell ref="A11:D11"/>
    <mergeCell ref="A17:D17"/>
    <mergeCell ref="A22:B22"/>
  </mergeCells>
  <conditionalFormatting sqref="D13:D15">
    <cfRule type="cellIs" priority="2" operator="greaterThan" aboveAverage="0" equalAverage="0" bottom="0" percent="0" rank="0" text="" dxfId="0">
      <formula>0.15</formula>
    </cfRule>
    <cfRule type="cellIs" priority="3" operator="between" aboveAverage="0" equalAverage="0" bottom="0" percent="0" rank="0" text="" dxfId="1">
      <formula>0.08</formula>
      <formula>0.15</formula>
    </cfRule>
    <cfRule type="cellIs" priority="4" operator="lessThan" aboveAverage="0" equalAverage="0" bottom="0" percent="0" rank="0" text="" dxfId="2">
      <formula>0.08</formula>
    </cfRule>
  </conditionalFormatting>
  <conditionalFormatting sqref="B24:B35">
    <cfRule type="colorScale" priority="5">
      <colorScale>
        <cfvo type="min" val="0"/>
        <cfvo type="percentile" val="50"/>
        <cfvo type="max" val="0"/>
        <color rgb="FFD5F5E3"/>
        <color rgb="FFFEF9E7"/>
        <color rgb="FFFADBD8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2"/>
    <col collapsed="false" customWidth="true" hidden="false" outlineLevel="0" max="4" min="4" style="0" width="14"/>
  </cols>
  <sheetData>
    <row r="1" customFormat="false" ht="15" hidden="false" customHeight="true" outlineLevel="0" collapsed="false">
      <c r="A1" s="8" t="s">
        <v>58</v>
      </c>
      <c r="B1" s="8"/>
      <c r="C1" s="8"/>
      <c r="D1" s="8"/>
    </row>
    <row r="2" customFormat="false" ht="15" hidden="false" customHeight="false" outlineLevel="0" collapsed="false">
      <c r="A2" s="12" t="s">
        <v>59</v>
      </c>
      <c r="B2" s="12" t="s">
        <v>39</v>
      </c>
      <c r="C2" s="12" t="s">
        <v>40</v>
      </c>
      <c r="D2" s="12" t="s">
        <v>41</v>
      </c>
    </row>
    <row r="3" customFormat="false" ht="15" hidden="false" customHeight="false" outlineLevel="0" collapsed="false">
      <c r="A3" s="9" t="s">
        <v>15</v>
      </c>
      <c r="B3" s="13" t="n">
        <f aca="false">COUNTIF(Dati_Grezzi!E2:E71,A3)</f>
        <v>11</v>
      </c>
      <c r="C3" s="13" t="n">
        <f aca="false">COUNTIFS(Dati_Grezzi!E2:E71,A3,Dati_Grezzi!M2:M71,"Yes")</f>
        <v>6</v>
      </c>
      <c r="D3" s="14" t="n">
        <f aca="false">IF(B3=0,0,C3/B3)</f>
        <v>0.545454545454545</v>
      </c>
    </row>
    <row r="4" customFormat="false" ht="15" hidden="false" customHeight="false" outlineLevel="0" collapsed="false">
      <c r="A4" s="15" t="s">
        <v>25</v>
      </c>
      <c r="B4" s="13" t="n">
        <f aca="false">COUNTIF(Dati_Grezzi!E2:E71,A4)</f>
        <v>8</v>
      </c>
      <c r="C4" s="13" t="n">
        <f aca="false">COUNTIFS(Dati_Grezzi!E2:E71,A4,Dati_Grezzi!M2:M71,"Yes")</f>
        <v>3</v>
      </c>
      <c r="D4" s="14" t="n">
        <f aca="false">IF(B4=0,0,C4/B4)</f>
        <v>0.375</v>
      </c>
    </row>
    <row r="5" customFormat="false" ht="15" hidden="false" customHeight="false" outlineLevel="0" collapsed="false">
      <c r="A5" s="9" t="s">
        <v>24</v>
      </c>
      <c r="B5" s="13" t="n">
        <f aca="false">COUNTIF(Dati_Grezzi!E2:E71,A5)</f>
        <v>4</v>
      </c>
      <c r="C5" s="13" t="n">
        <f aca="false">COUNTIFS(Dati_Grezzi!E2:E71,A5,Dati_Grezzi!M2:M71,"Yes")</f>
        <v>1</v>
      </c>
      <c r="D5" s="14" t="n">
        <f aca="false">IF(B5=0,0,C5/B5)</f>
        <v>0.25</v>
      </c>
    </row>
    <row r="6" customFormat="false" ht="15" hidden="false" customHeight="false" outlineLevel="0" collapsed="false">
      <c r="A6" s="15" t="s">
        <v>27</v>
      </c>
      <c r="B6" s="13" t="n">
        <f aca="false">COUNTIF(Dati_Grezzi!E2:E71,A6)</f>
        <v>4</v>
      </c>
      <c r="C6" s="13" t="n">
        <f aca="false">COUNTIFS(Dati_Grezzi!E2:E71,A6,Dati_Grezzi!M2:M71,"Yes")</f>
        <v>1</v>
      </c>
      <c r="D6" s="14" t="n">
        <f aca="false">IF(B6=0,0,C6/B6)</f>
        <v>0.25</v>
      </c>
    </row>
    <row r="7" customFormat="false" ht="15" hidden="false" customHeight="false" outlineLevel="0" collapsed="false">
      <c r="A7" s="9" t="s">
        <v>19</v>
      </c>
      <c r="B7" s="13" t="n">
        <f aca="false">COUNTIF(Dati_Grezzi!E2:E71,A7)</f>
        <v>30</v>
      </c>
      <c r="C7" s="13" t="n">
        <f aca="false">COUNTIFS(Dati_Grezzi!E2:E71,A7,Dati_Grezzi!M2:M71,"Yes")</f>
        <v>5</v>
      </c>
      <c r="D7" s="14" t="n">
        <f aca="false">IF(B7=0,0,C7/B7)</f>
        <v>0.166666666666667</v>
      </c>
    </row>
    <row r="8" customFormat="false" ht="15" hidden="false" customHeight="false" outlineLevel="0" collapsed="false">
      <c r="A8" s="15" t="s">
        <v>21</v>
      </c>
      <c r="B8" s="13" t="n">
        <f aca="false">COUNTIF(Dati_Grezzi!E2:E71,A8)</f>
        <v>5</v>
      </c>
      <c r="C8" s="13" t="n">
        <f aca="false">COUNTIFS(Dati_Grezzi!E2:E71,A8,Dati_Grezzi!M2:M71,"Yes")</f>
        <v>0</v>
      </c>
      <c r="D8" s="14" t="n">
        <f aca="false">IF(B8=0,0,C8/B8)</f>
        <v>0</v>
      </c>
    </row>
    <row r="9" customFormat="false" ht="15" hidden="false" customHeight="false" outlineLevel="0" collapsed="false">
      <c r="A9" s="9" t="s">
        <v>23</v>
      </c>
      <c r="B9" s="13" t="n">
        <f aca="false">COUNTIF(Dati_Grezzi!E2:E71,A9)</f>
        <v>5</v>
      </c>
      <c r="C9" s="13" t="n">
        <f aca="false">COUNTIFS(Dati_Grezzi!E2:E71,A9,Dati_Grezzi!M2:M71,"Yes")</f>
        <v>0</v>
      </c>
      <c r="D9" s="14" t="n">
        <f aca="false">IF(B9=0,0,C9/B9)</f>
        <v>0</v>
      </c>
    </row>
    <row r="10" customFormat="false" ht="15" hidden="false" customHeight="false" outlineLevel="0" collapsed="false">
      <c r="A10" s="15" t="s">
        <v>26</v>
      </c>
      <c r="B10" s="13" t="n">
        <f aca="false">COUNTIF(Dati_Grezzi!E2:E71,A10)</f>
        <v>3</v>
      </c>
      <c r="C10" s="13" t="n">
        <f aca="false">COUNTIFS(Dati_Grezzi!E2:E71,A10,Dati_Grezzi!M2:M71,"Yes")</f>
        <v>0</v>
      </c>
      <c r="D10" s="14" t="n">
        <f aca="false">IF(B10=0,0,C10/B10)</f>
        <v>0</v>
      </c>
    </row>
  </sheetData>
  <mergeCells count="1">
    <mergeCell ref="A1:D1"/>
  </mergeCells>
  <conditionalFormatting sqref="D3:D10">
    <cfRule type="cellIs" priority="2" operator="greaterThan" aboveAverage="0" equalAverage="0" bottom="0" percent="0" rank="0" text="" dxfId="0">
      <formula>0.2</formula>
    </cfRule>
    <cfRule type="cellIs" priority="3" operator="between" aboveAverage="0" equalAverage="0" bottom="0" percent="0" rank="0" text="" dxfId="1">
      <formula>0.1</formula>
      <formula>0.2</formula>
    </cfRule>
    <cfRule type="cellIs" priority="4" operator="lessThan" aboveAverage="0" equalAverage="0" bottom="0" percent="0" rank="0" text="" dxfId="2">
      <formula>0.1</formula>
    </cfRule>
  </conditionalFormatting>
  <conditionalFormatting sqref="C3:C10">
    <cfRule type="dataBar" priority="5">
      <dataBar showValue="1" minLength="10" maxLength="90">
        <cfvo type="num" val="0"/>
        <cfvo type="num" val="7"/>
        <color rgb="FF2E75B6"/>
      </dataBar>
      <extLst>
        <ext xmlns:x14="http://schemas.microsoft.com/office/spreadsheetml/2009/9/main" uri="{B025F937-C7B1-47D3-B67F-A62EFF666E3E}">
          <x14:id>{6E7C8041-B0F8-438D-8D35-4B89C84BA0EF}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7C8041-B0F8-438D-8D35-4B89C84BA0EF}">
            <x14:dataBar minLength="10" maxLength="90" axisPosition="none" gradient="true">
              <x14:cfvo type="num">
                <xm:f>0</xm:f>
              </x14:cfvo>
              <x14:cfvo type="num">
                <xm:f>7</xm:f>
              </x14:cfvo>
              <x14:negativeFillColor rgb="FF2E75B6"/>
              <x14:axisColor rgb="FF000000"/>
            </x14:dataBar>
          </x14:cfRule>
          <xm:sqref>C3:C10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5" min="2" style="0" width="20"/>
  </cols>
  <sheetData>
    <row r="1" customFormat="false" ht="27.75" hidden="false" customHeight="true" outlineLevel="0" collapsed="false">
      <c r="A1" s="20" t="s">
        <v>60</v>
      </c>
      <c r="B1" s="20"/>
      <c r="C1" s="20"/>
      <c r="D1" s="20"/>
      <c r="E1" s="20"/>
    </row>
    <row r="2" customFormat="false" ht="27.75" hidden="false" customHeight="true" outlineLevel="0" collapsed="false">
      <c r="A2" s="20" t="s">
        <v>61</v>
      </c>
      <c r="B2" s="20"/>
      <c r="C2" s="20"/>
      <c r="D2" s="20"/>
      <c r="E2" s="20"/>
    </row>
    <row r="4" customFormat="false" ht="21.75" hidden="false" customHeight="true" outlineLevel="0" collapsed="false">
      <c r="A4" s="21" t="s">
        <v>62</v>
      </c>
      <c r="B4" s="22" t="s">
        <v>63</v>
      </c>
      <c r="C4" s="22"/>
      <c r="D4" s="22"/>
      <c r="E4" s="22"/>
    </row>
    <row r="5" customFormat="false" ht="18" hidden="false" customHeight="true" outlineLevel="0" collapsed="false">
      <c r="B5" s="23" t="s">
        <v>64</v>
      </c>
      <c r="C5" s="23"/>
      <c r="D5" s="23"/>
      <c r="E5" s="23"/>
    </row>
    <row r="6" customFormat="false" ht="18" hidden="false" customHeight="true" outlineLevel="0" collapsed="false">
      <c r="B6" s="23" t="s">
        <v>65</v>
      </c>
      <c r="C6" s="23"/>
      <c r="D6" s="23"/>
      <c r="E6" s="23"/>
    </row>
    <row r="7" customFormat="false" ht="18" hidden="false" customHeight="true" outlineLevel="0" collapsed="false">
      <c r="B7" s="23" t="s">
        <v>66</v>
      </c>
      <c r="C7" s="23"/>
      <c r="D7" s="23"/>
      <c r="E7" s="23"/>
    </row>
    <row r="9" customFormat="false" ht="21.75" hidden="false" customHeight="true" outlineLevel="0" collapsed="false">
      <c r="A9" s="21" t="s">
        <v>67</v>
      </c>
      <c r="B9" s="22" t="s">
        <v>68</v>
      </c>
      <c r="C9" s="22"/>
      <c r="D9" s="22"/>
      <c r="E9" s="22"/>
    </row>
    <row r="10" customFormat="false" ht="18" hidden="false" customHeight="true" outlineLevel="0" collapsed="false">
      <c r="B10" s="23" t="s">
        <v>69</v>
      </c>
      <c r="C10" s="23"/>
      <c r="D10" s="23"/>
      <c r="E10" s="23"/>
    </row>
    <row r="11" customFormat="false" ht="18" hidden="false" customHeight="true" outlineLevel="0" collapsed="false">
      <c r="B11" s="23" t="s">
        <v>70</v>
      </c>
      <c r="C11" s="23"/>
      <c r="D11" s="23"/>
      <c r="E11" s="23"/>
    </row>
    <row r="12" customFormat="false" ht="18" hidden="false" customHeight="true" outlineLevel="0" collapsed="false">
      <c r="B12" s="23" t="s">
        <v>71</v>
      </c>
      <c r="C12" s="23"/>
      <c r="D12" s="23"/>
      <c r="E12" s="23"/>
    </row>
    <row r="13" customFormat="false" ht="18" hidden="false" customHeight="true" outlineLevel="0" collapsed="false">
      <c r="B13" s="23" t="s">
        <v>72</v>
      </c>
      <c r="C13" s="23"/>
      <c r="D13" s="23"/>
      <c r="E13" s="23"/>
    </row>
    <row r="15" customFormat="false" ht="21.75" hidden="false" customHeight="true" outlineLevel="0" collapsed="false">
      <c r="A15" s="21" t="s">
        <v>73</v>
      </c>
      <c r="B15" s="22" t="s">
        <v>74</v>
      </c>
      <c r="C15" s="22"/>
      <c r="D15" s="22"/>
      <c r="E15" s="22"/>
    </row>
    <row r="16" customFormat="false" ht="18" hidden="false" customHeight="true" outlineLevel="0" collapsed="false">
      <c r="B16" s="23" t="s">
        <v>75</v>
      </c>
      <c r="C16" s="23"/>
      <c r="D16" s="23"/>
      <c r="E16" s="23"/>
    </row>
    <row r="17" customFormat="false" ht="18" hidden="false" customHeight="true" outlineLevel="0" collapsed="false">
      <c r="B17" s="23" t="s">
        <v>76</v>
      </c>
      <c r="C17" s="23"/>
      <c r="D17" s="23"/>
      <c r="E17" s="23"/>
    </row>
    <row r="18" customFormat="false" ht="18" hidden="false" customHeight="true" outlineLevel="0" collapsed="false">
      <c r="B18" s="23" t="s">
        <v>77</v>
      </c>
      <c r="C18" s="23"/>
      <c r="D18" s="23"/>
      <c r="E18" s="23"/>
    </row>
    <row r="19" customFormat="false" ht="18" hidden="false" customHeight="true" outlineLevel="0" collapsed="false">
      <c r="B19" s="23" t="s">
        <v>78</v>
      </c>
      <c r="C19" s="23"/>
      <c r="D19" s="23"/>
      <c r="E19" s="23"/>
    </row>
    <row r="20" customFormat="false" ht="18" hidden="false" customHeight="true" outlineLevel="0" collapsed="false">
      <c r="B20" s="23" t="s">
        <v>79</v>
      </c>
      <c r="C20" s="23"/>
      <c r="D20" s="23"/>
      <c r="E20" s="23"/>
    </row>
    <row r="21" customFormat="false" ht="18" hidden="false" customHeight="true" outlineLevel="0" collapsed="false">
      <c r="B21" s="23" t="s">
        <v>80</v>
      </c>
      <c r="C21" s="23"/>
      <c r="D21" s="23"/>
      <c r="E21" s="23"/>
    </row>
    <row r="23" customFormat="false" ht="21.75" hidden="false" customHeight="true" outlineLevel="0" collapsed="false">
      <c r="A23" s="21" t="s">
        <v>81</v>
      </c>
      <c r="B23" s="22" t="s">
        <v>82</v>
      </c>
      <c r="C23" s="22"/>
      <c r="D23" s="22"/>
      <c r="E23" s="22"/>
    </row>
    <row r="24" customFormat="false" ht="18" hidden="false" customHeight="true" outlineLevel="0" collapsed="false">
      <c r="B24" s="23" t="s">
        <v>83</v>
      </c>
      <c r="C24" s="23"/>
      <c r="D24" s="23"/>
      <c r="E24" s="23"/>
    </row>
    <row r="25" customFormat="false" ht="18" hidden="false" customHeight="true" outlineLevel="0" collapsed="false">
      <c r="B25" s="23" t="s">
        <v>84</v>
      </c>
      <c r="C25" s="23"/>
      <c r="D25" s="23"/>
      <c r="E25" s="23"/>
    </row>
    <row r="26" customFormat="false" ht="18" hidden="false" customHeight="true" outlineLevel="0" collapsed="false">
      <c r="B26" s="23" t="s">
        <v>85</v>
      </c>
      <c r="C26" s="23"/>
      <c r="D26" s="23"/>
      <c r="E26" s="23"/>
    </row>
    <row r="29" customFormat="false" ht="21.75" hidden="false" customHeight="true" outlineLevel="0" collapsed="false">
      <c r="A29" s="24" t="s">
        <v>86</v>
      </c>
      <c r="B29" s="24"/>
      <c r="C29" s="24"/>
      <c r="D29" s="24"/>
      <c r="E29" s="24"/>
    </row>
  </sheetData>
  <mergeCells count="23">
    <mergeCell ref="A1:E1"/>
    <mergeCell ref="A2:E2"/>
    <mergeCell ref="B4:E4"/>
    <mergeCell ref="B5:E5"/>
    <mergeCell ref="B6:E6"/>
    <mergeCell ref="B7:E7"/>
    <mergeCell ref="B9:E9"/>
    <mergeCell ref="B10:E10"/>
    <mergeCell ref="B11:E11"/>
    <mergeCell ref="B12:E12"/>
    <mergeCell ref="B13:E13"/>
    <mergeCell ref="B15:E15"/>
    <mergeCell ref="B16:E16"/>
    <mergeCell ref="B17:E17"/>
    <mergeCell ref="B18:E18"/>
    <mergeCell ref="B19:E19"/>
    <mergeCell ref="B20:E20"/>
    <mergeCell ref="B21:E21"/>
    <mergeCell ref="B23:E23"/>
    <mergeCell ref="B24:E24"/>
    <mergeCell ref="B25:E25"/>
    <mergeCell ref="B26:E26"/>
    <mergeCell ref="A29:E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2026-05-19T07:37:13Z</dcterms:created>
  <dc:creator>openpyxl</dc:creator>
  <dc:description/>
  <dc:language>en-US</dc:language>
  <cp:lastModifiedBy/>
  <dcterms:modified xsi:type="dcterms:W3CDTF">2026-05-19T07:37:13Z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